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oes" sheetId="1" r:id="rId5"/>
    <sheet state="visible" name="Dashboard" sheetId="2" r:id="rId6"/>
    <sheet state="visible" name="LÍQUIDO FOLHA -1" sheetId="3" r:id="rId7"/>
    <sheet state="visible" name="CONSIGNAÇÕES FOLHA 1" sheetId="4" r:id="rId8"/>
    <sheet state="visible" name="NES" sheetId="5" r:id="rId9"/>
    <sheet state="visible" name="Reconciliacao" sheetId="6" r:id="rId10"/>
    <sheet state="visible" name="Cruzamento Rubricas" sheetId="7" r:id="rId11"/>
    <sheet state="visible" name="Detalhe Consignacoes" sheetId="8" r:id="rId12"/>
    <sheet state="hidden" name="Listas" sheetId="9" r:id="rId13"/>
  </sheets>
  <definedNames/>
  <calcPr/>
</workbook>
</file>

<file path=xl/sharedStrings.xml><?xml version="1.0" encoding="utf-8"?>
<sst xmlns="http://schemas.openxmlformats.org/spreadsheetml/2006/main" count="1038" uniqueCount="555">
  <si>
    <t>COMO USAR ESTA PLANILHA</t>
  </si>
  <si>
    <t>Células AMARELAS</t>
  </si>
  <si>
    <t>São os valores que você digita todo mês (líquidos, IRRF, valores de consignações, saldos de empenho). O resto é calculado automaticamente por fórmula.</t>
  </si>
  <si>
    <t>Células sem cor / com fórmula</t>
  </si>
  <si>
    <t>Não edite. Estão protegidas — se tentar mexer, o Sheets vai avisar antes.</t>
  </si>
  <si>
    <t>Códigos orçamentários (ex: 31.90.11.74)</t>
  </si>
  <si>
    <t>Veja o significado de cada um na aba "Glossario de Codigos".</t>
  </si>
  <si>
    <t>Aba "Cruzamento Rubricas"</t>
  </si>
  <si>
    <t>Os rótulos das linhas 2 a 8 foram deduzidos automaticamente cruzando valores — passe o mouse sobre a coluna A para ver a explicação e o nível de confiança.</t>
  </si>
  <si>
    <t>LANÇAR A FOLHA DE UM NOVO MÊS</t>
  </si>
  <si>
    <t>Use o menu FOPAG &gt; "Lançar novo mês" no topo da tela. Isso cria uma cópia completa desta planilha (fórmulas e proteções inclusas), já com as células amarelas em branco, pronta para você preencher.</t>
  </si>
  <si>
    <t>O arquivo do mês atual não é apagado nem sobrescrito — cada mês fica com seu próprio arquivo no Google Drive.</t>
  </si>
  <si>
    <t>PROCESSO: 2026/093010/000015             DATA ABERTURA: 21/07/2026</t>
  </si>
  <si>
    <t>ULTIMA VERSÃO</t>
  </si>
  <si>
    <t>LIQUIDAÇÃO DA FOLHA DE PAGAMENTO DO MÊS DE JULHO DE 2026-1</t>
  </si>
  <si>
    <t>CONTRATOS - RGPS</t>
  </si>
  <si>
    <t>FOPAG DO MÊS DE MAIO/2026 - 1</t>
  </si>
  <si>
    <t>EVENTO</t>
  </si>
  <si>
    <t>NE</t>
  </si>
  <si>
    <t>NATUREZA</t>
  </si>
  <si>
    <t xml:space="preserve">RUBRICA </t>
  </si>
  <si>
    <t>CLASSIFICAÇÃO PAGAMENTO</t>
  </si>
  <si>
    <t>DESCRIÇÃO</t>
  </si>
  <si>
    <t>LÍQUIDO</t>
  </si>
  <si>
    <t>LIQUIDAÇÃO</t>
  </si>
  <si>
    <t>IRRF</t>
  </si>
  <si>
    <t>N° NE</t>
  </si>
  <si>
    <t>DEZCRIÇÃO DA NATUREZA</t>
  </si>
  <si>
    <t>SALDO 622.921.001</t>
  </si>
  <si>
    <t>FOLHA</t>
  </si>
  <si>
    <t>VALOR DO REFORÇO R$</t>
  </si>
  <si>
    <t>3.31.90.04.01</t>
  </si>
  <si>
    <t>2018NE0000</t>
  </si>
  <si>
    <t>31.90.04.01</t>
  </si>
  <si>
    <t>Despesas Remuneração e IRRF última coluna</t>
  </si>
  <si>
    <t>LÍQUIDO DOS CONTRATOS</t>
  </si>
  <si>
    <t>DESPESAS E REMUNERAÇÃO DOS CONTRATOS TEMPORÁRIOS</t>
  </si>
  <si>
    <t>LÍQUIDO VENCIMENTO PESSOAL CIVIL RPPS</t>
  </si>
  <si>
    <t>LÍQUIDO DO SUBSÍDIO RGPS</t>
  </si>
  <si>
    <t>3.31.90.04.02</t>
  </si>
  <si>
    <t>13° Contratos e Adiantamento 13º</t>
  </si>
  <si>
    <t>31.90.04.02</t>
  </si>
  <si>
    <t>13° SALÁRIO - CONTRATOS TEMPORÁRIOS</t>
  </si>
  <si>
    <t>LIQUIDO PESSOAL MILITAR</t>
  </si>
  <si>
    <t>VALOR TOTAL  DO LÍQUIDO</t>
  </si>
  <si>
    <t>31.90.04.45</t>
  </si>
  <si>
    <t>FÉRIAS E ABONO DOS CONTRATO TEMP.</t>
  </si>
  <si>
    <t>3.31.90.13.02</t>
  </si>
  <si>
    <t>Salario maternidade - INSS</t>
  </si>
  <si>
    <t>31.90.05.07</t>
  </si>
  <si>
    <t>SALÁRIO FAMÍLIA CIVIL RPPS</t>
  </si>
  <si>
    <t>3.31.90.04.45</t>
  </si>
  <si>
    <t>31.90.11.01</t>
  </si>
  <si>
    <t>Férias Proporcionais Indenizadas</t>
  </si>
  <si>
    <t>VENCIMENTO PESSOAL CIVIL RPPS</t>
  </si>
  <si>
    <t>Salário família INSS Contratos</t>
  </si>
  <si>
    <t>CONSIGNAÇÕES FOPAG</t>
  </si>
  <si>
    <t>31.90.11.43</t>
  </si>
  <si>
    <t>13° SALÁRIO CIVIL RPPS</t>
  </si>
  <si>
    <t>3.31.90.92.04</t>
  </si>
  <si>
    <t>31.90.11.74 (311.210.131)</t>
  </si>
  <si>
    <t>31.90.12.01</t>
  </si>
  <si>
    <t>31.90.11.45</t>
  </si>
  <si>
    <t>Contratos (Desp. Anterior) DEA</t>
  </si>
  <si>
    <t>FÉRIAS E ABONO CIVIL RPPS</t>
  </si>
  <si>
    <t>INSC. EVEN</t>
  </si>
  <si>
    <t>BANCO</t>
  </si>
  <si>
    <t>ITEM PATR.</t>
  </si>
  <si>
    <t>CIVIL RPPS</t>
  </si>
  <si>
    <t>CIVIL RGPS</t>
  </si>
  <si>
    <t>MILITAR</t>
  </si>
  <si>
    <t>PD (RPPS)</t>
  </si>
  <si>
    <t>PD (RGPS)</t>
  </si>
  <si>
    <t>31.90.11.74</t>
  </si>
  <si>
    <t>3.33.90.46</t>
  </si>
  <si>
    <t>SUBSÍDIOS CIVIL RGPS</t>
  </si>
  <si>
    <t>25.091.307/0001-76</t>
  </si>
  <si>
    <t>Auxílio Alimentação contratos</t>
  </si>
  <si>
    <t>FUNDO DE PREVIDÊNCIA  (FUNDO FINANCEIRO)</t>
  </si>
  <si>
    <t>31.90.13.02</t>
  </si>
  <si>
    <t>SALÁRIO MATERNIDADE INSS RGPS</t>
  </si>
  <si>
    <t>AJ3000005</t>
  </si>
  <si>
    <t>33.90.92</t>
  </si>
  <si>
    <t>_</t>
  </si>
  <si>
    <t>FUNDO DE PREVIDÊNCIA  - FDO FINANCEIRO        (31.90.92) DEA</t>
  </si>
  <si>
    <t>Rendimentos- Exercício anterior DEA</t>
  </si>
  <si>
    <t>31.90.92.04</t>
  </si>
  <si>
    <t>CONTRATOS (DESP. DE EXERCÍCIO ANTERIOR)</t>
  </si>
  <si>
    <t>FUNDO PREVIDÊNCIARIO segurado</t>
  </si>
  <si>
    <t>3.31.90.94.01</t>
  </si>
  <si>
    <t>NÃO EXIGE</t>
  </si>
  <si>
    <t>Contratos Indenizações</t>
  </si>
  <si>
    <t>31.90.92.11</t>
  </si>
  <si>
    <t>VENCIMENTO PESSOAL CIVIL (EXERC. ANTERIOR)</t>
  </si>
  <si>
    <t>FUNDO PREVIDÊNCIARIO (31.90.92) DEA</t>
  </si>
  <si>
    <t>31.90.92.13</t>
  </si>
  <si>
    <t>INSS DE EXERC. ANTERIOR</t>
  </si>
  <si>
    <t>211.110.10X</t>
  </si>
  <si>
    <t>00.394.460.0058-87</t>
  </si>
  <si>
    <t>CODIGO DE BARRAS</t>
  </si>
  <si>
    <t>31.90.92.94</t>
  </si>
  <si>
    <t>INDENIZAÇÕES E RESTITUIÇÕES</t>
  </si>
  <si>
    <t>,</t>
  </si>
  <si>
    <t>INSS</t>
  </si>
  <si>
    <t>31.90.94.01</t>
  </si>
  <si>
    <t>VENCIMENTO PESSOAL CIVIL INDENIZAÇÕES</t>
  </si>
  <si>
    <t>INSS (92) DEA</t>
  </si>
  <si>
    <t>RPPS</t>
  </si>
  <si>
    <t>01.786.029/0001-03</t>
  </si>
  <si>
    <t xml:space="preserve"> INSS (RGPS)</t>
  </si>
  <si>
    <t>31.90.13.99</t>
  </si>
  <si>
    <t>OUTRAS OBRIGAÇÕES PATRONAIS</t>
  </si>
  <si>
    <t>14.120.591/0001-45</t>
  </si>
  <si>
    <t>104, AG:0793; CC:0060006019</t>
  </si>
  <si>
    <t>PREV REQU (MUNICIPIO GURUPI - MANTIS)</t>
  </si>
  <si>
    <t>31.91.92.13</t>
  </si>
  <si>
    <t>OBRIGAÇÕES PATRONAIS (EXERC. ANTERIOR)</t>
  </si>
  <si>
    <t>08.948.407/0001-57</t>
  </si>
  <si>
    <t>001, AG:00868, CC:158526</t>
  </si>
  <si>
    <t>3.31.90.05.07</t>
  </si>
  <si>
    <t>INSTITUTO DE SEG. MUNICIPAL DE GOIÁS</t>
  </si>
  <si>
    <t>Salário Familia Civil RPPS</t>
  </si>
  <si>
    <t>31.91.13.01</t>
  </si>
  <si>
    <t>CONTRIBUIÇÃO PATRONAL - ATIVO CIVIL</t>
  </si>
  <si>
    <t>INSTITUTO DE SEG. MUNICIPAL DE GOIÁS (31.90.92) DEA</t>
  </si>
  <si>
    <t>05.278.848/0001-09</t>
  </si>
  <si>
    <t>104, AG: 40657, CC: 060020073</t>
  </si>
  <si>
    <t>PREVIPALMAS REQUISITADO</t>
  </si>
  <si>
    <t>31.91.13.03</t>
  </si>
  <si>
    <t>3.31.90.11.43</t>
  </si>
  <si>
    <t>PLANSAUDE CONTRIBUIÇÃO PATRONAL</t>
  </si>
  <si>
    <t>13° Salário Civil RPPS</t>
  </si>
  <si>
    <t>25.053.190/0001-36</t>
  </si>
  <si>
    <t xml:space="preserve">BOLETO JUDICIAL </t>
  </si>
  <si>
    <t>Desconto Judicial (TJTO)</t>
  </si>
  <si>
    <t>31.90.13.14</t>
  </si>
  <si>
    <t>PREVI PALMAS REQUISITADO</t>
  </si>
  <si>
    <t>31.90.11.07</t>
  </si>
  <si>
    <t>Abono permanência</t>
  </si>
  <si>
    <t>2018NE</t>
  </si>
  <si>
    <t>PREVI PAR REQUISITADO</t>
  </si>
  <si>
    <t>03.903.286/0001-03</t>
  </si>
  <si>
    <t>001, AG:15059, CC: 806145</t>
  </si>
  <si>
    <t>PLANO DE SAÚDE/PM/ MENS. /COMPART.</t>
  </si>
  <si>
    <t>31.90.13.40</t>
  </si>
  <si>
    <t>Abono permanência 13º</t>
  </si>
  <si>
    <t>17.327894/0001-21</t>
  </si>
  <si>
    <t>070, AG:380, CC: 0003800264961</t>
  </si>
  <si>
    <t>3.31.90.11.45</t>
  </si>
  <si>
    <t>PLANSAÚDE COMPARTICIPAÇÃO</t>
  </si>
  <si>
    <t>Férias Abono/Adicional de férias Const. Civil RPPS</t>
  </si>
  <si>
    <t>FUNDO DE PREV. DE GOIÁS</t>
  </si>
  <si>
    <t>PLANSAÚDE DEPEND. INDIRETO</t>
  </si>
  <si>
    <t>Auxílio Alimentação RPPS</t>
  </si>
  <si>
    <t>PLANSAÚDE – PARCELAMENTO</t>
  </si>
  <si>
    <t>3.33.90.93.02</t>
  </si>
  <si>
    <t>Ressarcimento 30%, Art. 22-B, MP 03/2024.</t>
  </si>
  <si>
    <t>PLANSAÚDE TAXA DE INSC.</t>
  </si>
  <si>
    <t>38.137.329/0001-71</t>
  </si>
  <si>
    <t>001, AG: 1505, CC: 1325132</t>
  </si>
  <si>
    <t>ASSECAD MENSALIDADE</t>
  </si>
  <si>
    <t>Ressarcimento 40% Art.22-A</t>
  </si>
  <si>
    <t>001, AG: 1886-4, CC: 325139</t>
  </si>
  <si>
    <t>ASSECAD PARCELAMENTO</t>
  </si>
  <si>
    <t>3.31.90.92.11</t>
  </si>
  <si>
    <t>Vencimento P. Civil (exerc. Anterior) DEA folha banco</t>
  </si>
  <si>
    <t>ASSECAD COMPARTICIP.</t>
  </si>
  <si>
    <t>3.31.90.11.74</t>
  </si>
  <si>
    <t>Subsídios Civil RPPS (folha 1)</t>
  </si>
  <si>
    <t>001, AG: 1886-4, CC: 1325139</t>
  </si>
  <si>
    <t>ASSECAD UNIMED</t>
  </si>
  <si>
    <t>3.31.90.11.01</t>
  </si>
  <si>
    <t>VENCIMENTO DE P. CIVIL e IRRF folha banco e ultima coluna</t>
  </si>
  <si>
    <t>01.385.752/0001-80</t>
  </si>
  <si>
    <t>001/1505-9/48338-9</t>
  </si>
  <si>
    <t>ASSER-RURALTINS (PLANO DE SAÚDE</t>
  </si>
  <si>
    <t>Venc. P. Civil. (indenizações) folha banco</t>
  </si>
  <si>
    <t>26.753.491/0001-35</t>
  </si>
  <si>
    <t>001, AG:1886, CC: 143358</t>
  </si>
  <si>
    <t>ASSINE COMPARTICIPAÇÃO</t>
  </si>
  <si>
    <t>ASSINE MENSALIDADE</t>
  </si>
  <si>
    <t>ASSINE PLANO DE SAÚDE</t>
  </si>
  <si>
    <t>RGPS</t>
  </si>
  <si>
    <t>71.027.866.0001-34</t>
  </si>
  <si>
    <t>218, AG:0010 CC:104183</t>
  </si>
  <si>
    <t>Bonsucesso – cartão de credito</t>
  </si>
  <si>
    <t>71.027.866/0001-34</t>
  </si>
  <si>
    <t>BANCO BONSUCESSO S/A</t>
  </si>
  <si>
    <t>13° e Adiantamento Salário Civil RGPS</t>
  </si>
  <si>
    <t>00.000.000/5099-73</t>
  </si>
  <si>
    <t>001, AG:36153, CC:57940</t>
  </si>
  <si>
    <t>BB CRÉD. FÁCIL (BB CONSIGNAÇÃO)</t>
  </si>
  <si>
    <t>61.186.680/0001-74</t>
  </si>
  <si>
    <t>Férias Abono Const. Civil RGPS</t>
  </si>
  <si>
    <t>341, AG:12480 CC:084061</t>
  </si>
  <si>
    <t>BMG – CARTÃO DE CREDITO</t>
  </si>
  <si>
    <t>DASHBOARD FOPAG</t>
  </si>
  <si>
    <t>Subsídios Civil RPPS (folha banco) + IRRF ultima coluna</t>
  </si>
  <si>
    <t>BMG CONSIGNAÇÃO</t>
  </si>
  <si>
    <t>DADOS AUXILIARES - NÃO EDITAR</t>
  </si>
  <si>
    <t>Regime</t>
  </si>
  <si>
    <t>37.238.516/0001-89</t>
  </si>
  <si>
    <t>001, AG: 1505, CC:0172642</t>
  </si>
  <si>
    <t>Líquido</t>
  </si>
  <si>
    <t xml:space="preserve">SINDEPOL - SIND. DOS DEL. (mensalidade) </t>
  </si>
  <si>
    <t>VENCIMENTO PESSOAL CIVIL</t>
  </si>
  <si>
    <t>60.746.948/0001-12</t>
  </si>
  <si>
    <t>VALOR DA FOPAG (TOTAL DO MÊS)</t>
  </si>
  <si>
    <t>237, AG:41300, CC:274348</t>
  </si>
  <si>
    <t>TOTAL LÍQUIDO (TODOS OS REGIMES)</t>
  </si>
  <si>
    <t>BRADESCO - CONSIGNAÇÕES</t>
  </si>
  <si>
    <t>TOTAL IRRF RETIDO</t>
  </si>
  <si>
    <t>TOTAL DE CONSIGNAÇÕES</t>
  </si>
  <si>
    <t>ENCARGOS SOCIAIS (FUNDOS+INSS+PLANSAUDE)</t>
  </si>
  <si>
    <t>18.742.418/0001-30</t>
  </si>
  <si>
    <t>AG: 5004, CC: 10227784</t>
  </si>
  <si>
    <t>SINFITO</t>
  </si>
  <si>
    <t>02.588.345/0001-33</t>
  </si>
  <si>
    <t>001, AG:36153, CC:804797</t>
  </si>
  <si>
    <t>PRODIVINO EMPRESTIMO</t>
  </si>
  <si>
    <t>Salário Maternidade INSS RGPS</t>
  </si>
  <si>
    <t>CC:81.100-9</t>
  </si>
  <si>
    <t>PRODIVINO HABITACIONAL</t>
  </si>
  <si>
    <t>Salário família INSS RGPS</t>
  </si>
  <si>
    <t>Categoria</t>
  </si>
  <si>
    <t>Valor</t>
  </si>
  <si>
    <t>Valor do Órgão para Empenho</t>
  </si>
  <si>
    <t>02.889.429/0001-07</t>
  </si>
  <si>
    <t>104/3414/00000416-2</t>
  </si>
  <si>
    <t>Venc. P. Civil (Exerc. Anterior) DEA</t>
  </si>
  <si>
    <t>SINDIFATO (MENSALIDADE)</t>
  </si>
  <si>
    <t>Encargos Sociais</t>
  </si>
  <si>
    <t>Encargo</t>
  </si>
  <si>
    <t>3.3.90.46.00</t>
  </si>
  <si>
    <t>Auxílio-Alimentação RGPS</t>
  </si>
  <si>
    <t>00.977.970/0001-41</t>
  </si>
  <si>
    <t>001, AG:1505, CC:1483331</t>
  </si>
  <si>
    <t>SINDIFISCAL (MENSALIDADE)</t>
  </si>
  <si>
    <t>Vencimento P. Civil (indenizações) folha banco</t>
  </si>
  <si>
    <t>Instituição</t>
  </si>
  <si>
    <t>Total (R$)</t>
  </si>
  <si>
    <t>24.851.628/0001-69</t>
  </si>
  <si>
    <t>001, AG:1886, CC:1071424</t>
  </si>
  <si>
    <t>SINTRAS MENSALIDADE</t>
  </si>
  <si>
    <t>26.752.436/0001-20</t>
  </si>
  <si>
    <t>748, AG:39830, CC:2135</t>
  </si>
  <si>
    <t>SISEPE MENSALIDADE</t>
  </si>
  <si>
    <t>40.083.667/0001-10</t>
  </si>
  <si>
    <t>033,AG: 3717, CC: 130045885</t>
  </si>
  <si>
    <t>CAPITAL CONSIGNAÇÃO</t>
  </si>
  <si>
    <t>31.895.683/0001-16</t>
  </si>
  <si>
    <t>604, AG:00010, CC: 0100147674</t>
  </si>
  <si>
    <t>BANCO INDUSTRIAL (emprestimo)</t>
  </si>
  <si>
    <t>CLASSIFICAÇÃO DA LIQUIDAÇÃO</t>
  </si>
  <si>
    <t>3.31.90.12.43</t>
  </si>
  <si>
    <t>13° Salário Miliar RPPS</t>
  </si>
  <si>
    <t>00.360.305/2525-02</t>
  </si>
  <si>
    <t>104, AG:25259, CC:EMPRESTIMO</t>
  </si>
  <si>
    <t>CAIXA DO TRABALHADOR</t>
  </si>
  <si>
    <t>3.31.90.12.45</t>
  </si>
  <si>
    <t>Férias Abono Const. Militar RPPS</t>
  </si>
  <si>
    <t>26.751.974/0001-09</t>
  </si>
  <si>
    <t>Rubrica (NES)</t>
  </si>
  <si>
    <t>104, AG:25259, CC:030049357</t>
  </si>
  <si>
    <t>3.31.90.12.01</t>
  </si>
  <si>
    <t>Valor do Reforço (R$)</t>
  </si>
  <si>
    <t>SEET</t>
  </si>
  <si>
    <t>SOLDO PESSOAL MILITAR RPPS folha banco</t>
  </si>
  <si>
    <t>25.042.615/0001-01</t>
  </si>
  <si>
    <t>001, AG:15059, CC:142581</t>
  </si>
  <si>
    <t>SINPOL (mensalidade)</t>
  </si>
  <si>
    <t>04.114.667/0001-76</t>
  </si>
  <si>
    <t>001, AG: 3962, CC: 53000X</t>
  </si>
  <si>
    <t>Líquido Total</t>
  </si>
  <si>
    <t>AGEPOL-TO</t>
  </si>
  <si>
    <t>Consignações Total</t>
  </si>
  <si>
    <t>AUXILIO FARDAMENTO PESSOAL MILIAR</t>
  </si>
  <si>
    <t>IRRF Total</t>
  </si>
  <si>
    <t>748, AG:0911 C/C:00000416045</t>
  </si>
  <si>
    <t>3.33.90.93</t>
  </si>
  <si>
    <t>indenização hórario extr.</t>
  </si>
  <si>
    <t xml:space="preserve">FAS-POLÍCIA MILITAR </t>
  </si>
  <si>
    <t xml:space="preserve">Salário família INSS </t>
  </si>
  <si>
    <t>22.328.661/0001-83</t>
  </si>
  <si>
    <t>001, AG:3962, CC:000000383139</t>
  </si>
  <si>
    <t>ASPA- POLICIA CIVIL</t>
  </si>
  <si>
    <t>3.31.90.92.12</t>
  </si>
  <si>
    <t>Venc. P. Civil (Exerc. Anterior) DEA folha banco</t>
  </si>
  <si>
    <t>07.799.277/0001-75</t>
  </si>
  <si>
    <t>237 AG:3090 CC:14540</t>
  </si>
  <si>
    <t>VALOR FINANCIAMENTOS CONSIG</t>
  </si>
  <si>
    <t>62.232.889/0001-90</t>
  </si>
  <si>
    <t>707/00019/3003517</t>
  </si>
  <si>
    <t>BANCO DAYCOVAL</t>
  </si>
  <si>
    <t>26.960.328/0001-43</t>
  </si>
  <si>
    <t xml:space="preserve"> 756, AG: 0001, CC: 3263000012</t>
  </si>
  <si>
    <t>SICOOB CREDIPAR</t>
  </si>
  <si>
    <t>08.071.645/0001-27</t>
  </si>
  <si>
    <t>033-2271/0130087562</t>
  </si>
  <si>
    <t>CIASPREV ( CARTÃO DE CRÉDITO)</t>
  </si>
  <si>
    <t>CIASPREV ( EMPRÉSTIMO)</t>
  </si>
  <si>
    <t>CIASPREV ( MENSALIDADE)</t>
  </si>
  <si>
    <t>03.990.914/0001-35</t>
  </si>
  <si>
    <t>001 AG: 2967 CC 1074636</t>
  </si>
  <si>
    <t>ORALE (ODONTOLÓGICO)</t>
  </si>
  <si>
    <t>03.110.642/0001-31</t>
  </si>
  <si>
    <t>001 AG:3962 CC:1263595</t>
  </si>
  <si>
    <t>UNIÃO DOS MILITARES DO TOCANTINS</t>
  </si>
  <si>
    <t xml:space="preserve">PLANSAÚDE MENSALIDADE </t>
  </si>
  <si>
    <t>PLANSAÚDE MENSALIDADE  (92) DEA</t>
  </si>
  <si>
    <t>001 AG:36153, CC:900001</t>
  </si>
  <si>
    <t>PENSÃO ALIMENTÍCIA</t>
  </si>
  <si>
    <t>03.903.286.0001.03</t>
  </si>
  <si>
    <t>748, AG: 0911, C/C 000000416070</t>
  </si>
  <si>
    <t>PECÚLIO POLICIAL MILITAR</t>
  </si>
  <si>
    <t>GABINETE</t>
  </si>
  <si>
    <t>92.812.098.0001-08</t>
  </si>
  <si>
    <t>001,AG: 10-8, CC: 25977-2</t>
  </si>
  <si>
    <t>VALOR DO ORGÃO PARA EMPENHO</t>
  </si>
  <si>
    <t>FUTURO PREVIDÊNCIA</t>
  </si>
  <si>
    <t>OBS: Para calcular o valor da FOPAG               Valor do Orgão para empenho (+) encargos sociais</t>
  </si>
  <si>
    <t>SALÁRIOS</t>
  </si>
  <si>
    <t>DÉCIMO TERCEIRO</t>
  </si>
  <si>
    <t>FUNDO FINANCEIRO</t>
  </si>
  <si>
    <t>FÉRIAS</t>
  </si>
  <si>
    <t>43.299.408/0001-19</t>
  </si>
  <si>
    <t>033, AG: 2271 C/C: 00013011340-7</t>
  </si>
  <si>
    <t>(RESUMO GERAL)</t>
  </si>
  <si>
    <t>MEUCASHCARD (Cartão Beneficio)</t>
  </si>
  <si>
    <t>FUNDO PREVIDENCIÁRIO</t>
  </si>
  <si>
    <t>33.923.798/0001-00</t>
  </si>
  <si>
    <t>070; AG: 0027; C/C: 00002711305</t>
  </si>
  <si>
    <t>BANCO MASTER (CARTÃO BENÉFICIO + CARTAO CRÉDIO</t>
  </si>
  <si>
    <t>PLANSAUDE</t>
  </si>
  <si>
    <t>PLANSAUDE NÃO CONSTANTE NO RESUMO</t>
  </si>
  <si>
    <t>90.400.888/0001-42</t>
  </si>
  <si>
    <t>AG: 0725; CC: 290070617</t>
  </si>
  <si>
    <t>SANTANDER/OLÉ</t>
  </si>
  <si>
    <t>GURUPI PREV</t>
  </si>
  <si>
    <t>55.158.624/0001-23</t>
  </si>
  <si>
    <t>329; AG:0001; C/C. 9895338-2</t>
  </si>
  <si>
    <t>FYDIGITAL (cartão beneficio)</t>
  </si>
  <si>
    <t>FUNDO DE PREVIDÊNCIA MILITAR</t>
  </si>
  <si>
    <t>39.876.528/0001-64</t>
  </si>
  <si>
    <t>033, AG:2271; C/C. 0000130119850</t>
  </si>
  <si>
    <t>211.110.101</t>
  </si>
  <si>
    <t>CLICLKBANK (CARTÃO BENEFICIO)</t>
  </si>
  <si>
    <t>211.110.102</t>
  </si>
  <si>
    <t>TOTAL DA FOLHA</t>
  </si>
  <si>
    <t>211.110.103</t>
  </si>
  <si>
    <t>44.100.799/0001-63</t>
  </si>
  <si>
    <t>403- AG:001 C/C: 3794585-7</t>
  </si>
  <si>
    <t>VEM CARD (CARTÃO  BENEFICIO)</t>
  </si>
  <si>
    <t>REDUTOR CONSTITUCIONAL</t>
  </si>
  <si>
    <t>18.394.228/0001-79</t>
  </si>
  <si>
    <t>077; AG: 0001 C/C: 000145195740</t>
  </si>
  <si>
    <t>CDC SDC CARTÃO DE CREDITO</t>
  </si>
  <si>
    <t>VALOR DA FOPAG</t>
  </si>
  <si>
    <t>36.583.700/0001-01</t>
  </si>
  <si>
    <t>237, AG:03393 C/C: 0001428-1</t>
  </si>
  <si>
    <t>QISTA S/A</t>
  </si>
  <si>
    <t>LIQUIDAÇÃO DA FOLHA DE PAGAMENTO (BANCOS)</t>
  </si>
  <si>
    <t>20.308.187/0001-00</t>
  </si>
  <si>
    <t>241/0001/49905807</t>
  </si>
  <si>
    <t>AVANCARD</t>
  </si>
  <si>
    <t>PD BANCO DO BRASIL</t>
  </si>
  <si>
    <t>29.961.505/0001-02</t>
  </si>
  <si>
    <t>208, AG:0001, C/C. 130119898</t>
  </si>
  <si>
    <t>HOJE PREVIDÊNCIA</t>
  </si>
  <si>
    <t>CNPJ: 01.786.029/0001-03</t>
  </si>
  <si>
    <t>46.405.997/0001-60</t>
  </si>
  <si>
    <t xml:space="preserve"> AG: 0911, CC: 174633</t>
  </si>
  <si>
    <t>AJUSP-TO</t>
  </si>
  <si>
    <t>TOTAL GERAL R$</t>
  </si>
  <si>
    <t>00.000.208.0001/00</t>
  </si>
  <si>
    <t>70, AG: 0027, CC:0000271077018</t>
  </si>
  <si>
    <t>BRB- BANCO BRASILIA/ PASSIVOS</t>
  </si>
  <si>
    <t>OBS: Para calcular o valor do Banco do Brasil (resumo do ativo)</t>
  </si>
  <si>
    <t>Valor do banco</t>
  </si>
  <si>
    <t>70, AG: 0027, CC:0271077034</t>
  </si>
  <si>
    <t>BRB- BANCO BRASILIA CONSIGNADO</t>
  </si>
  <si>
    <t>MENOS</t>
  </si>
  <si>
    <t>70, AG: 0027, CC:0270239146</t>
  </si>
  <si>
    <t>BRB AUXÍLIO ALIMENTAÇÃO</t>
  </si>
  <si>
    <t>Salário Familia + Salario Maternidade INSS</t>
  </si>
  <si>
    <t>39.330.901/00001-87</t>
  </si>
  <si>
    <t xml:space="preserve">329, AG:00001 C/C: 26070 </t>
  </si>
  <si>
    <t>KARD BANK</t>
  </si>
  <si>
    <t>56.984.959/00001-63</t>
  </si>
  <si>
    <t xml:space="preserve">033, AG:3932 C/C: 0000130105733 </t>
  </si>
  <si>
    <t>ZAHAV (Adiant.Salário)</t>
  </si>
  <si>
    <t>42.095.636/0001-04</t>
  </si>
  <si>
    <t>457, AG:00001 C/C:00007351150</t>
  </si>
  <si>
    <t>WEBCASH  (Cartão de Crédito) 3336</t>
  </si>
  <si>
    <t>WEBCASH  (Adiant. De Salário) 3634</t>
  </si>
  <si>
    <t>VALOR REAL</t>
  </si>
  <si>
    <t>WEBCASH  (Cartão de Crédito) 3634</t>
  </si>
  <si>
    <t>DIFERNÇA</t>
  </si>
  <si>
    <t>SICOOB PASSIVOS</t>
  </si>
  <si>
    <t>001, AG:36153, CC:6338-X</t>
  </si>
  <si>
    <t>BANCO DO BRASIL PASSIVOS</t>
  </si>
  <si>
    <t>59.285.411/0001-13</t>
  </si>
  <si>
    <t>629, AG:00019, CC:28861</t>
  </si>
  <si>
    <t>BANCO PANAMERICANO – PASSIVOS</t>
  </si>
  <si>
    <t>17.324.317/0001-86</t>
  </si>
  <si>
    <t>0070: 380: 380.026499-6</t>
  </si>
  <si>
    <t>FUNGERP</t>
  </si>
  <si>
    <t xml:space="preserve">VALOR TOTAL DAS CONMSIGNAÇÕES </t>
  </si>
  <si>
    <t>2018NE000</t>
  </si>
  <si>
    <t>VENCIMENTO DE PESSOAL CIVIL RPPS</t>
  </si>
  <si>
    <t>SUBSÍDIO CIVIL RPPS</t>
  </si>
  <si>
    <t>331.90.04.01</t>
  </si>
  <si>
    <t>DESP. REMUNERAÇÃO - CONTRATOS TEMPORÁRIOS - RGPS</t>
  </si>
  <si>
    <t>SUBSÍDIO CIVIL RGPS/</t>
  </si>
  <si>
    <t>PESSOL MILITR RPPS</t>
  </si>
  <si>
    <t>APROPRIAÇÃO DAS CONSIGNAÇÕES DOS CONTRATOS - RGPS</t>
  </si>
  <si>
    <t>CÓDIGO</t>
  </si>
  <si>
    <t>INSC. EVENTO</t>
  </si>
  <si>
    <t>valor R$</t>
  </si>
  <si>
    <t>NL</t>
  </si>
  <si>
    <t>01.786.029.0001-03</t>
  </si>
  <si>
    <t>26.894.022/0001-36</t>
  </si>
  <si>
    <t>001, 36153, CC:816809</t>
  </si>
  <si>
    <t>PLANSAÚDE – COMPART.</t>
  </si>
  <si>
    <t>38.137.329.0001-71</t>
  </si>
  <si>
    <t>001, AG: 1505, CC: 1325139</t>
  </si>
  <si>
    <t>56.984.959/0001-63</t>
  </si>
  <si>
    <t>0333- AG:3932 C/C: 000130105733</t>
  </si>
  <si>
    <t>ZAHAVA CASH (adiant. Salário)</t>
  </si>
  <si>
    <t>71.027.866.0001.34</t>
  </si>
  <si>
    <t>BANCO BONSUCESSO -CARTÃO DE CRÉDITO</t>
  </si>
  <si>
    <t>Bradesco Consignação</t>
  </si>
  <si>
    <t>26.751.933/0001-04</t>
  </si>
  <si>
    <t>CONT. SIND. SEAGETO</t>
  </si>
  <si>
    <t>03.875.564/0001-66</t>
  </si>
  <si>
    <t>CONT. SIND. SINTET</t>
  </si>
  <si>
    <t>00.904.951/0001-95</t>
  </si>
  <si>
    <t>341, AG: 01480, CC:225626</t>
  </si>
  <si>
    <t>POLICARD (ADIANT. SALÁRIO)</t>
  </si>
  <si>
    <t>POLICARD (CARTÃO DE CRÉDITO)</t>
  </si>
  <si>
    <t>POLICARD CONSIGNAÇÃO</t>
  </si>
  <si>
    <t>13.916.396.0001-63</t>
  </si>
  <si>
    <t>001, AG: 3413, CC: 294810</t>
  </si>
  <si>
    <t>ASSOCIAÇÃO MUTUALISTA DE ASSISTÊNCIA DOS SERVIDORES</t>
  </si>
  <si>
    <t>2017NE00001</t>
  </si>
  <si>
    <t>Resumo geral (menos o Fundo de Previdência)</t>
  </si>
  <si>
    <t xml:space="preserve"> (OBRIGAÇÕES PATRONAIS)</t>
  </si>
  <si>
    <t>(INSS) - RGPS</t>
  </si>
  <si>
    <t>CLASSIFIC.</t>
  </si>
  <si>
    <t>VALOR</t>
  </si>
  <si>
    <t>PD</t>
  </si>
  <si>
    <t>3.31.90.04 - CONTRATO</t>
  </si>
  <si>
    <t>3.31.90.92 DEA</t>
  </si>
  <si>
    <t>3.31.90.13 RGPS</t>
  </si>
  <si>
    <t>2017NE00002</t>
  </si>
  <si>
    <t>FUNDO DE PREVIDÊNCIA PATRONAL – CIVIL (ATIVO- FUNDO FINANCEIRO)</t>
  </si>
  <si>
    <t>2017NE000178</t>
  </si>
  <si>
    <t>3.31.91.13.01</t>
  </si>
  <si>
    <t>070, AG:380, CC: 380.0250693</t>
  </si>
  <si>
    <t>FDO de Previdência Patronal - civil (ativo) - RPPS</t>
  </si>
  <si>
    <t>FUNDO DE PREVIDÊNCIA PATRONAL – CIVIL (ATIVO) - Exercício Anterior DEA</t>
  </si>
  <si>
    <t>2017NE000177</t>
  </si>
  <si>
    <t>3.31.91.92.13 DEA</t>
  </si>
  <si>
    <t>070, AG:380, CC: 380.0250766</t>
  </si>
  <si>
    <t>FUNDO DE PREVIDÊNCIA PATRONAL – CIVIL (ATIVO - FUNDO PREVIDENCIÁRIO)</t>
  </si>
  <si>
    <t>FDO de Previdência Patronal - civil (ativo)</t>
  </si>
  <si>
    <t>VALOR R$</t>
  </si>
  <si>
    <t>17.327.894/0001-21</t>
  </si>
  <si>
    <t>3.31.91.13.03</t>
  </si>
  <si>
    <t>001, AG:36153, CC:84079-3</t>
  </si>
  <si>
    <t>PLANSAUDE CONT. PATRONAL</t>
  </si>
  <si>
    <t>2017NE 000178</t>
  </si>
  <si>
    <t>PREVI PALMAS - SERVIDOR REQUISITADO</t>
  </si>
  <si>
    <t>3.31.90.13.14</t>
  </si>
  <si>
    <t>PREVI PALMAS</t>
  </si>
  <si>
    <t>2017NE 00002</t>
  </si>
  <si>
    <t>3.31.90.92</t>
  </si>
  <si>
    <t>104, AG:0793; CC:006711375</t>
  </si>
  <si>
    <t>GURUPI PREV REQUISITADO</t>
  </si>
  <si>
    <t>2017NE 0000</t>
  </si>
  <si>
    <t>FUNDO DE PREDIDÊNCIA MILITARES</t>
  </si>
  <si>
    <t>49.534.664/0001-20</t>
  </si>
  <si>
    <t>3.31.91.13.40</t>
  </si>
  <si>
    <t>070, AG: 380, CC: 380.251541</t>
  </si>
  <si>
    <t>FDO PROTEÇÃO SOCIAL DOS MILITARES</t>
  </si>
  <si>
    <t>planilha fundo financeiro estado</t>
  </si>
  <si>
    <t>2017NE 0002</t>
  </si>
  <si>
    <t>FUNDO DE PREDIDÊNCIA MILITARES - 31.91.92 DEA</t>
  </si>
  <si>
    <t>PARA CONFERIR/O VALOR DA FOPAG: SOMAR O LIQUIDO , OS CONTRATOS+ ENCARGOS SOCIAIS A DIFERENÇA É O VALOR DO VALE TRANSPORTE</t>
  </si>
  <si>
    <t>do resumo geral-rendimentos e descontos</t>
  </si>
  <si>
    <t>VALE TRANSPORTE</t>
  </si>
  <si>
    <t>31.90.04</t>
  </si>
  <si>
    <t>31.90.13</t>
  </si>
  <si>
    <t>31.90.94</t>
  </si>
  <si>
    <t>31.90.12</t>
  </si>
  <si>
    <t>31.90.11</t>
  </si>
  <si>
    <t>33.90.08</t>
  </si>
  <si>
    <t>33.90.93. 40%</t>
  </si>
  <si>
    <t>33.90.93. 30%</t>
  </si>
  <si>
    <t>33.90.46</t>
  </si>
  <si>
    <t>NAT- 31.91.13</t>
  </si>
  <si>
    <t>NAT.31.90.93</t>
  </si>
  <si>
    <t>13º 225</t>
  </si>
  <si>
    <t>CONSIGNAÇÕES</t>
  </si>
  <si>
    <t>TOTAL GERAL</t>
  </si>
  <si>
    <t>BC</t>
  </si>
  <si>
    <t>SIND FISCAL</t>
  </si>
  <si>
    <t>D E A</t>
  </si>
  <si>
    <t>santander</t>
  </si>
  <si>
    <t>sinfito</t>
  </si>
  <si>
    <t>ASSECAD MENS</t>
  </si>
  <si>
    <t>31.90.92</t>
  </si>
  <si>
    <t>31.91.92</t>
  </si>
  <si>
    <t>MEU CASH CARD</t>
  </si>
  <si>
    <t>SICOOB</t>
  </si>
  <si>
    <t>BB CRÉDITO FÁCIL</t>
  </si>
  <si>
    <t>FUNDO</t>
  </si>
  <si>
    <t>bb passivos</t>
  </si>
  <si>
    <t>BRADESCO EMPRÉSTIMO</t>
  </si>
  <si>
    <t>PANAMERICANO</t>
  </si>
  <si>
    <t>FUTURO PREVI</t>
  </si>
  <si>
    <t>SISEPE</t>
  </si>
  <si>
    <t>SINDEPOL</t>
  </si>
  <si>
    <t>VENCIMENTOS</t>
  </si>
  <si>
    <t>SINPOL</t>
  </si>
  <si>
    <t>SUBSIDIO</t>
  </si>
  <si>
    <t>SINTRAS</t>
  </si>
  <si>
    <t>CLICKBANK</t>
  </si>
  <si>
    <t>CAIXA</t>
  </si>
  <si>
    <t>AJUP</t>
  </si>
  <si>
    <t>CAPIT CONSIG</t>
  </si>
  <si>
    <t>PECULIO UNIÃO</t>
  </si>
  <si>
    <t>vem card</t>
  </si>
  <si>
    <t>BRB - BANCO BRASILIA</t>
  </si>
  <si>
    <t>BCO INDUSTRIAL</t>
  </si>
  <si>
    <t>CIASPREV</t>
  </si>
  <si>
    <t>webcash - 3336</t>
  </si>
  <si>
    <t>webcash - 3634</t>
  </si>
  <si>
    <t>BRB -PASSIVOS</t>
  </si>
  <si>
    <t>ASSECAD</t>
  </si>
  <si>
    <t>sisepe</t>
  </si>
  <si>
    <t>CAIXA TRABALHADOR</t>
  </si>
  <si>
    <t>VALOR FINANCIAMENTOS</t>
  </si>
  <si>
    <t>VEM CARD</t>
  </si>
  <si>
    <t>futuro</t>
  </si>
  <si>
    <t>BANCO DO BRASIL</t>
  </si>
  <si>
    <t>brb</t>
  </si>
  <si>
    <t>banco santander</t>
  </si>
  <si>
    <t>banco master</t>
  </si>
  <si>
    <t>Bradesco</t>
  </si>
  <si>
    <t>RCCARD</t>
  </si>
  <si>
    <t>BRADESC0</t>
  </si>
  <si>
    <t>FUTURO</t>
  </si>
  <si>
    <t>Naturezas (Liquido Folha)</t>
  </si>
  <si>
    <t>Bancos/Instituicoes (Consignacoes)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</si>
</sst>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$&quot; #,##0.00;[Red]-&quot;R$&quot; #,##0.00;&quot;-&quot;"/>
    <numFmt numFmtId="165" formatCode="_-* #,##0.00_-;\-* #,##0.00_-;_-* &quot;-&quot;??_-;_-@"/>
    <numFmt numFmtId="166" formatCode="&quot;R$&quot; #,##0.00"/>
  </numFmts>
  <fonts count="53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b/>
      <sz val="12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2.0"/>
      <color rgb="FF000000"/>
      <name val="Calibri"/>
    </font>
    <font>
      <b/>
      <sz val="14.0"/>
      <color rgb="FFFF0000"/>
      <name val="Calibri"/>
    </font>
    <font/>
    <font>
      <b/>
      <sz val="11.0"/>
      <color rgb="FFFF0000"/>
      <name val="Calibri"/>
    </font>
    <font>
      <b/>
      <sz val="10.0"/>
      <color rgb="FFFFFFFF"/>
      <name val="Calibri"/>
    </font>
    <font>
      <b/>
      <sz val="11.0"/>
      <color rgb="FFFFFFFF"/>
      <name val="Calibri"/>
    </font>
    <font>
      <sz val="10.0"/>
      <color rgb="FF000000"/>
      <name val="Calibri"/>
    </font>
    <font>
      <b/>
      <sz val="11.0"/>
      <color theme="1"/>
      <name val="Calibri"/>
    </font>
    <font>
      <b/>
      <sz val="10.0"/>
      <color rgb="FF000000"/>
      <name val="Calibri"/>
    </font>
    <font>
      <b/>
      <sz val="9.0"/>
      <color rgb="FFFFFFFF"/>
      <name val="Calibri"/>
    </font>
    <font>
      <sz val="10.0"/>
      <color theme="1"/>
      <name val="Calibri"/>
    </font>
    <font>
      <b/>
      <sz val="10.0"/>
      <color theme="9"/>
      <name val="Calibri"/>
    </font>
    <font>
      <sz val="11.0"/>
      <color rgb="FF0070C0"/>
      <name val="Calibri"/>
    </font>
    <font>
      <b/>
      <sz val="10.0"/>
      <color rgb="FFFF0000"/>
      <name val="Calibri"/>
    </font>
    <font>
      <b/>
      <sz val="11.0"/>
      <color theme="9"/>
      <name val="Calibri"/>
    </font>
    <font>
      <sz val="11.0"/>
      <color rgb="FFFF0000"/>
      <name val="Calibri"/>
    </font>
    <font>
      <b/>
      <sz val="18.0"/>
      <color rgb="FF1F4E78"/>
      <name val="Calibri"/>
      <scheme val="minor"/>
    </font>
    <font>
      <sz val="11.0"/>
      <color rgb="FF5F6368"/>
      <name val="Calibri"/>
      <scheme val="minor"/>
    </font>
    <font>
      <b/>
      <sz val="9.0"/>
      <color rgb="FF5F6368"/>
      <name val="Calibri"/>
      <scheme val="minor"/>
    </font>
    <font>
      <sz val="9.0"/>
      <color rgb="FF000000"/>
      <name val="Calibri"/>
    </font>
    <font>
      <i/>
      <sz val="9.0"/>
      <color rgb="FF7A5900"/>
      <name val="Calibri"/>
      <scheme val="minor"/>
    </font>
    <font>
      <b/>
      <sz val="11.0"/>
      <color rgb="FF17365D"/>
      <name val="Calibri"/>
    </font>
    <font>
      <sz val="10.0"/>
      <color rgb="FFFF0000"/>
      <name val="Calibri"/>
    </font>
    <font>
      <sz val="10.0"/>
      <color theme="9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sz val="11.0"/>
      <color rgb="FF1F497D"/>
      <name val="Calibri"/>
    </font>
    <font>
      <b/>
      <sz val="11.0"/>
      <color rgb="FF974806"/>
      <name val="Calibri"/>
    </font>
    <font>
      <sz val="11.0"/>
      <color rgb="FF002060"/>
      <name val="Calibri"/>
    </font>
    <font>
      <b/>
      <sz val="10.0"/>
      <color theme="1"/>
      <name val="Calibri"/>
    </font>
    <font>
      <b/>
      <sz val="11.0"/>
      <color rgb="FF0070C0"/>
      <name val="Calibri"/>
    </font>
    <font>
      <sz val="10.0"/>
      <color rgb="FFFFFFFF"/>
      <name val="Calibri"/>
    </font>
    <font>
      <sz val="12.0"/>
      <color rgb="FF000000"/>
      <name val="Calibri"/>
    </font>
    <font>
      <b/>
      <sz val="11.0"/>
      <color rgb="FF333399"/>
      <name val="Calibri"/>
    </font>
    <font>
      <b/>
      <sz val="11.0"/>
      <color rgb="FF953734"/>
      <name val="Calibri"/>
    </font>
    <font>
      <b/>
      <sz val="12.0"/>
      <color rgb="FFC00000"/>
      <name val="Calibri"/>
    </font>
    <font>
      <b/>
      <sz val="10.0"/>
      <color rgb="FF993300"/>
      <name val="Calibri"/>
    </font>
    <font>
      <b/>
      <sz val="12.0"/>
      <color rgb="FFFFFFFF"/>
      <name val="Calibri"/>
    </font>
    <font>
      <b/>
      <sz val="11.0"/>
      <color rgb="FFC00000"/>
      <name val="Calibri"/>
    </font>
    <font>
      <sz val="12.0"/>
      <color theme="9"/>
      <name val="Calibri"/>
    </font>
    <font>
      <b/>
      <sz val="12.0"/>
      <color theme="9"/>
      <name val="Calibri"/>
    </font>
    <font>
      <b/>
      <sz val="12.0"/>
      <color theme="0"/>
      <name val="Calibri"/>
    </font>
    <font>
      <b/>
      <sz val="11.0"/>
      <color theme="0"/>
      <name val="Calibri"/>
    </font>
    <font>
      <sz val="11.0"/>
      <color theme="9"/>
      <name val="Calibri"/>
    </font>
  </fonts>
  <fills count="4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8CCE4"/>
        <bgColor rgb="FFB8CCE4"/>
      </patternFill>
    </fill>
    <fill>
      <patternFill patternType="solid">
        <fgColor rgb="FF0070C0"/>
        <bgColor rgb="FF0070C0"/>
      </patternFill>
    </fill>
    <fill>
      <patternFill patternType="solid">
        <fgColor rgb="FFCCC0D9"/>
        <bgColor rgb="FFCCC0D9"/>
      </patternFill>
    </fill>
    <fill>
      <patternFill patternType="solid">
        <fgColor rgb="FF1F4E78"/>
        <bgColor rgb="FF1F4E78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DDD9C3"/>
        <bgColor rgb="FFDDD9C3"/>
      </patternFill>
    </fill>
    <fill>
      <patternFill patternType="solid">
        <fgColor rgb="FFFF7C80"/>
        <bgColor rgb="FFFF7C80"/>
      </patternFill>
    </fill>
    <fill>
      <patternFill patternType="solid">
        <fgColor rgb="FF31859B"/>
        <bgColor rgb="FF31859B"/>
      </patternFill>
    </fill>
    <fill>
      <patternFill patternType="solid">
        <fgColor rgb="FFFF66FF"/>
        <bgColor rgb="FFFF66FF"/>
      </patternFill>
    </fill>
    <fill>
      <patternFill patternType="solid">
        <fgColor rgb="FF00B0F0"/>
        <bgColor rgb="FF00B0F0"/>
      </patternFill>
    </fill>
    <fill>
      <patternFill patternType="solid">
        <fgColor rgb="FFE8F0FE"/>
        <bgColor rgb="FFE8F0FE"/>
      </patternFill>
    </fill>
    <fill>
      <patternFill patternType="solid">
        <fgColor rgb="FFFFF6E0"/>
        <bgColor rgb="FFFFF6E0"/>
      </patternFill>
    </fill>
    <fill>
      <patternFill patternType="solid">
        <fgColor rgb="FFB2A1C7"/>
        <bgColor rgb="FFB2A1C7"/>
      </patternFill>
    </fill>
    <fill>
      <patternFill patternType="solid">
        <fgColor rgb="FFFF0000"/>
        <bgColor rgb="FFFF0000"/>
      </patternFill>
    </fill>
    <fill>
      <patternFill patternType="solid">
        <fgColor rgb="FF33CCCC"/>
        <bgColor rgb="FF33CCCC"/>
      </patternFill>
    </fill>
    <fill>
      <patternFill patternType="solid">
        <fgColor theme="6"/>
        <bgColor theme="6"/>
      </patternFill>
    </fill>
    <fill>
      <patternFill patternType="solid">
        <fgColor rgb="FFD6E3BC"/>
        <bgColor rgb="FFD6E3BC"/>
      </patternFill>
    </fill>
    <fill>
      <patternFill patternType="solid">
        <fgColor rgb="FFC2D69B"/>
        <bgColor rgb="FFC2D69B"/>
      </patternFill>
    </fill>
    <fill>
      <patternFill patternType="solid">
        <fgColor rgb="FFF2DBDB"/>
        <bgColor rgb="FFF2DBDB"/>
      </patternFill>
    </fill>
    <fill>
      <patternFill patternType="solid">
        <fgColor rgb="FFD99594"/>
        <bgColor rgb="FFD99594"/>
      </patternFill>
    </fill>
    <fill>
      <patternFill patternType="solid">
        <fgColor rgb="FFE5B8B7"/>
        <bgColor rgb="FFE5B8B7"/>
      </patternFill>
    </fill>
    <fill>
      <patternFill patternType="solid">
        <fgColor rgb="FFE36C09"/>
        <bgColor rgb="FFE36C09"/>
      </patternFill>
    </fill>
    <fill>
      <patternFill patternType="solid">
        <fgColor theme="5"/>
        <bgColor theme="5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C6D9F0"/>
        <bgColor rgb="FFC6D9F0"/>
      </patternFill>
    </fill>
    <fill>
      <patternFill patternType="solid">
        <fgColor rgb="FF8DB3E2"/>
        <bgColor rgb="FF8DB3E2"/>
      </patternFill>
    </fill>
    <fill>
      <patternFill patternType="solid">
        <fgColor rgb="FFCC99FF"/>
        <bgColor rgb="FFCC99FF"/>
      </patternFill>
    </fill>
    <fill>
      <patternFill patternType="solid">
        <fgColor rgb="FFB6DDE8"/>
        <bgColor rgb="FFB6DDE8"/>
      </patternFill>
    </fill>
    <fill>
      <patternFill patternType="solid">
        <fgColor rgb="FFFBD4B4"/>
        <bgColor rgb="FFFBD4B4"/>
      </patternFill>
    </fill>
    <fill>
      <patternFill patternType="solid">
        <fgColor rgb="FF548DD4"/>
        <bgColor rgb="FF548DD4"/>
      </patternFill>
    </fill>
    <fill>
      <patternFill patternType="solid">
        <fgColor rgb="FFEEECE1"/>
        <bgColor rgb="FFEEECE1"/>
      </patternFill>
    </fill>
    <fill>
      <patternFill patternType="solid">
        <fgColor rgb="FFFFC000"/>
        <bgColor rgb="FFFFC000"/>
      </patternFill>
    </fill>
    <fill>
      <patternFill patternType="solid">
        <fgColor rgb="FFFDE9D9"/>
        <bgColor rgb="FFFDE9D9"/>
      </patternFill>
    </fill>
    <fill>
      <patternFill patternType="solid">
        <fgColor rgb="FFE5DFEC"/>
        <bgColor rgb="FFE5DFEC"/>
      </patternFill>
    </fill>
    <fill>
      <patternFill patternType="solid">
        <fgColor theme="1"/>
        <bgColor theme="1"/>
      </patternFill>
    </fill>
    <fill>
      <patternFill patternType="solid">
        <fgColor rgb="FFFABF8F"/>
        <bgColor rgb="FFFABF8F"/>
      </patternFill>
    </fill>
  </fills>
  <borders count="8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medium">
        <color rgb="FF1F4E7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EDA1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5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2" fontId="3" numFmtId="0" xfId="0" applyAlignment="1" applyFill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17" xfId="0" applyFont="1" applyNumberFormat="1"/>
    <xf borderId="1" fillId="3" fontId="7" numFmtId="0" xfId="0" applyAlignment="1" applyBorder="1" applyFill="1" applyFont="1">
      <alignment horizontal="center"/>
    </xf>
    <xf borderId="2" fillId="0" fontId="9" numFmtId="0" xfId="0" applyBorder="1" applyFont="1"/>
    <xf borderId="3" fillId="0" fontId="9" numFmtId="0" xfId="0" applyBorder="1" applyFont="1"/>
    <xf borderId="4" fillId="4" fontId="10" numFmtId="0" xfId="0" applyBorder="1" applyFill="1" applyFont="1"/>
    <xf borderId="1" fillId="5" fontId="5" numFmtId="0" xfId="0" applyAlignment="1" applyBorder="1" applyFill="1" applyFont="1">
      <alignment horizontal="center"/>
    </xf>
    <xf borderId="5" fillId="6" fontId="11" numFmtId="0" xfId="0" applyAlignment="1" applyBorder="1" applyFill="1" applyFont="1">
      <alignment horizontal="center" shrinkToFit="0" vertical="center" wrapText="1"/>
    </xf>
    <xf borderId="5" fillId="6" fontId="12" numFmtId="0" xfId="0" applyAlignment="1" applyBorder="1" applyFont="1">
      <alignment horizontal="center" shrinkToFit="0" vertical="center" wrapText="1"/>
    </xf>
    <xf borderId="5" fillId="6" fontId="12" numFmtId="43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left"/>
    </xf>
    <xf borderId="6" fillId="7" fontId="13" numFmtId="0" xfId="0" applyAlignment="1" applyBorder="1" applyFill="1" applyFont="1">
      <alignment horizontal="left" shrinkToFit="0" vertical="center" wrapText="1"/>
    </xf>
    <xf borderId="6" fillId="7" fontId="13" numFmtId="3" xfId="0" applyAlignment="1" applyBorder="1" applyFont="1" applyNumberFormat="1">
      <alignment horizontal="center" shrinkToFit="0" vertical="center" wrapText="1"/>
    </xf>
    <xf borderId="6" fillId="0" fontId="6" numFmtId="49" xfId="0" applyAlignment="1" applyBorder="1" applyFont="1" applyNumberFormat="1">
      <alignment vertical="center"/>
    </xf>
    <xf borderId="6" fillId="7" fontId="13" numFmtId="3" xfId="0" applyAlignment="1" applyBorder="1" applyFont="1" applyNumberFormat="1">
      <alignment horizontal="left" shrinkToFit="0" vertical="center" wrapText="1"/>
    </xf>
    <xf borderId="6" fillId="0" fontId="6" numFmtId="0" xfId="0" applyAlignment="1" applyBorder="1" applyFont="1">
      <alignment vertical="center"/>
    </xf>
    <xf borderId="6" fillId="0" fontId="6" numFmtId="0" xfId="0" applyAlignment="1" applyBorder="1" applyFont="1">
      <alignment shrinkToFit="0" vertical="center" wrapText="1"/>
    </xf>
    <xf borderId="6" fillId="2" fontId="6" numFmtId="164" xfId="0" applyAlignment="1" applyBorder="1" applyFont="1" applyNumberFormat="1">
      <alignment horizontal="left"/>
    </xf>
    <xf borderId="7" fillId="0" fontId="6" numFmtId="0" xfId="0" applyAlignment="1" applyBorder="1" applyFont="1">
      <alignment horizontal="left"/>
    </xf>
    <xf borderId="8" fillId="0" fontId="9" numFmtId="0" xfId="0" applyBorder="1" applyFont="1"/>
    <xf borderId="9" fillId="0" fontId="14" numFmtId="43" xfId="0" applyAlignment="1" applyBorder="1" applyFont="1" applyNumberFormat="1">
      <alignment readingOrder="0"/>
    </xf>
    <xf borderId="0" fillId="0" fontId="6" numFmtId="43" xfId="0" applyFont="1" applyNumberFormat="1"/>
    <xf borderId="6" fillId="0" fontId="6" numFmtId="43" xfId="0" applyAlignment="1" applyBorder="1" applyFont="1" applyNumberFormat="1">
      <alignment horizontal="left"/>
    </xf>
    <xf borderId="10" fillId="0" fontId="6" numFmtId="0" xfId="0" applyAlignment="1" applyBorder="1" applyFont="1">
      <alignment horizontal="left"/>
    </xf>
    <xf borderId="11" fillId="0" fontId="14" numFmtId="43" xfId="0" applyAlignment="1" applyBorder="1" applyFont="1" applyNumberFormat="1">
      <alignment readingOrder="0"/>
    </xf>
    <xf borderId="0" fillId="0" fontId="6" numFmtId="43" xfId="0" applyAlignment="1" applyFont="1" applyNumberFormat="1">
      <alignment horizontal="left"/>
    </xf>
    <xf borderId="6" fillId="0" fontId="6" numFmtId="43" xfId="0" applyAlignment="1" applyBorder="1" applyFont="1" applyNumberFormat="1">
      <alignment vertical="center"/>
    </xf>
    <xf borderId="10" fillId="0" fontId="6" numFmtId="0" xfId="0" applyBorder="1" applyFont="1"/>
    <xf borderId="0" fillId="2" fontId="6" numFmtId="164" xfId="0" applyFont="1" applyNumberFormat="1"/>
    <xf borderId="12" fillId="8" fontId="14" numFmtId="0" xfId="0" applyAlignment="1" applyBorder="1" applyFill="1" applyFont="1">
      <alignment horizontal="center"/>
    </xf>
    <xf borderId="13" fillId="0" fontId="9" numFmtId="0" xfId="0" applyBorder="1" applyFont="1"/>
    <xf borderId="14" fillId="0" fontId="9" numFmtId="0" xfId="0" applyBorder="1" applyFont="1"/>
    <xf borderId="6" fillId="7" fontId="6" numFmtId="43" xfId="0" applyAlignment="1" applyBorder="1" applyFont="1" applyNumberFormat="1">
      <alignment horizontal="left"/>
    </xf>
    <xf borderId="15" fillId="8" fontId="14" numFmtId="43" xfId="0" applyBorder="1" applyFont="1" applyNumberFormat="1"/>
    <xf borderId="0" fillId="0" fontId="10" numFmtId="43" xfId="0" applyFont="1" applyNumberFormat="1"/>
    <xf borderId="4" fillId="9" fontId="14" numFmtId="43" xfId="0" applyBorder="1" applyFill="1" applyFont="1" applyNumberFormat="1"/>
    <xf borderId="1" fillId="10" fontId="14" numFmtId="0" xfId="0" applyAlignment="1" applyBorder="1" applyFill="1" applyFont="1">
      <alignment horizontal="center"/>
    </xf>
    <xf borderId="0" fillId="0" fontId="6" numFmtId="165" xfId="0" applyAlignment="1" applyFont="1" applyNumberFormat="1">
      <alignment horizontal="left"/>
    </xf>
    <xf borderId="0" fillId="0" fontId="6" numFmtId="165" xfId="0" applyFont="1" applyNumberFormat="1"/>
    <xf borderId="0" fillId="2" fontId="14" numFmtId="164" xfId="0" applyFont="1" applyNumberFormat="1"/>
    <xf borderId="6" fillId="7" fontId="15" numFmtId="0" xfId="0" applyAlignment="1" applyBorder="1" applyFont="1">
      <alignment horizontal="center" shrinkToFit="0" vertical="center" wrapText="1"/>
    </xf>
    <xf borderId="6" fillId="2" fontId="10" numFmtId="164" xfId="0" applyBorder="1" applyFont="1" applyNumberFormat="1"/>
    <xf borderId="5" fillId="6" fontId="16" numFmtId="0" xfId="0" applyAlignment="1" applyBorder="1" applyFont="1">
      <alignment horizontal="center" shrinkToFit="0" vertical="center" wrapText="1"/>
    </xf>
    <xf borderId="5" fillId="6" fontId="16" numFmtId="49" xfId="0" applyAlignment="1" applyBorder="1" applyFont="1" applyNumberFormat="1">
      <alignment horizontal="center" shrinkToFit="0" vertical="center" wrapText="1"/>
    </xf>
    <xf borderId="6" fillId="0" fontId="13" numFmtId="0" xfId="0" applyAlignment="1" applyBorder="1" applyFont="1">
      <alignment horizontal="center" vertical="center"/>
    </xf>
    <xf borderId="6" fillId="0" fontId="13" numFmtId="0" xfId="0" applyAlignment="1" applyBorder="1" applyFont="1">
      <alignment horizontal="center" shrinkToFit="0" vertical="center" wrapText="1"/>
    </xf>
    <xf borderId="6" fillId="0" fontId="13" numFmtId="3" xfId="0" applyAlignment="1" applyBorder="1" applyFont="1" applyNumberFormat="1">
      <alignment horizontal="center" vertical="center"/>
    </xf>
    <xf borderId="6" fillId="0" fontId="13" numFmtId="0" xfId="0" applyAlignment="1" applyBorder="1" applyFont="1">
      <alignment horizontal="left" shrinkToFit="0" vertical="center" wrapText="1"/>
    </xf>
    <xf borderId="6" fillId="2" fontId="17" numFmtId="164" xfId="0" applyAlignment="1" applyBorder="1" applyFont="1" applyNumberFormat="1">
      <alignment horizontal="center" shrinkToFit="0" vertical="center" wrapText="1"/>
    </xf>
    <xf borderId="6" fillId="2" fontId="18" numFmtId="164" xfId="0" applyAlignment="1" applyBorder="1" applyFont="1" applyNumberFormat="1">
      <alignment horizontal="center" shrinkToFit="0" vertical="center" wrapText="1"/>
    </xf>
    <xf borderId="6" fillId="0" fontId="13" numFmtId="49" xfId="0" applyAlignment="1" applyBorder="1" applyFont="1" applyNumberFormat="1">
      <alignment horizontal="center" vertical="center"/>
    </xf>
    <xf borderId="6" fillId="0" fontId="6" numFmtId="43" xfId="0" applyBorder="1" applyFont="1" applyNumberFormat="1"/>
    <xf borderId="16" fillId="7" fontId="13" numFmtId="0" xfId="0" applyAlignment="1" applyBorder="1" applyFont="1">
      <alignment horizontal="left" shrinkToFit="0" vertical="center" wrapText="1"/>
    </xf>
    <xf borderId="16" fillId="7" fontId="15" numFmtId="0" xfId="0" applyAlignment="1" applyBorder="1" applyFont="1">
      <alignment horizontal="center" shrinkToFit="0" vertical="center" wrapText="1"/>
    </xf>
    <xf borderId="16" fillId="7" fontId="13" numFmtId="3" xfId="0" applyAlignment="1" applyBorder="1" applyFont="1" applyNumberFormat="1">
      <alignment horizontal="center" shrinkToFit="0" vertical="center" wrapText="1"/>
    </xf>
    <xf borderId="6" fillId="2" fontId="13" numFmtId="164" xfId="0" applyAlignment="1" applyBorder="1" applyFont="1" applyNumberFormat="1">
      <alignment horizontal="center" shrinkToFit="0" vertical="center" wrapText="1"/>
    </xf>
    <xf borderId="17" fillId="2" fontId="6" numFmtId="164" xfId="0" applyAlignment="1" applyBorder="1" applyFont="1" applyNumberFormat="1">
      <alignment horizontal="center"/>
    </xf>
    <xf borderId="17" fillId="0" fontId="6" numFmtId="43" xfId="0" applyAlignment="1" applyBorder="1" applyFont="1" applyNumberFormat="1">
      <alignment horizontal="left"/>
    </xf>
    <xf borderId="6" fillId="7" fontId="13" numFmtId="43" xfId="0" applyAlignment="1" applyBorder="1" applyFont="1" applyNumberFormat="1">
      <alignment horizontal="center" shrinkToFit="0" vertical="center" wrapText="1"/>
    </xf>
    <xf borderId="16" fillId="7" fontId="15" numFmtId="3" xfId="0" applyAlignment="1" applyBorder="1" applyFont="1" applyNumberFormat="1">
      <alignment horizontal="center" shrinkToFit="0" vertical="center" wrapText="1"/>
    </xf>
    <xf borderId="16" fillId="7" fontId="13" numFmtId="3" xfId="0" applyAlignment="1" applyBorder="1" applyFont="1" applyNumberFormat="1">
      <alignment horizontal="left" shrinkToFit="0" vertical="center" wrapText="1"/>
    </xf>
    <xf borderId="17" fillId="2" fontId="6" numFmtId="164" xfId="0" applyAlignment="1" applyBorder="1" applyFont="1" applyNumberFormat="1">
      <alignment horizontal="left"/>
    </xf>
    <xf borderId="6" fillId="0" fontId="6" numFmtId="0" xfId="0" applyBorder="1" applyFont="1"/>
    <xf borderId="4" fillId="11" fontId="14" numFmtId="43" xfId="0" applyBorder="1" applyFill="1" applyFont="1" applyNumberFormat="1"/>
    <xf borderId="0" fillId="0" fontId="19" numFmtId="43" xfId="0" applyFont="1" applyNumberFormat="1"/>
    <xf borderId="18" fillId="7" fontId="13" numFmtId="0" xfId="0" applyAlignment="1" applyBorder="1" applyFont="1">
      <alignment horizontal="left" shrinkToFit="0" vertical="center" wrapText="1"/>
    </xf>
    <xf borderId="6" fillId="2" fontId="6" numFmtId="164" xfId="0" applyAlignment="1" applyBorder="1" applyFont="1" applyNumberFormat="1">
      <alignment vertical="center"/>
    </xf>
    <xf borderId="19" fillId="7" fontId="13" numFmtId="0" xfId="0" applyAlignment="1" applyBorder="1" applyFont="1">
      <alignment horizontal="center" shrinkToFit="0" vertical="center" wrapText="1"/>
    </xf>
    <xf borderId="20" fillId="7" fontId="13" numFmtId="0" xfId="0" applyAlignment="1" applyBorder="1" applyFont="1">
      <alignment horizontal="center" shrinkToFit="0" vertical="center" wrapText="1"/>
    </xf>
    <xf borderId="21" fillId="7" fontId="13" numFmtId="0" xfId="0" applyAlignment="1" applyBorder="1" applyFont="1">
      <alignment horizontal="center" shrinkToFit="0" vertical="center" wrapText="1"/>
    </xf>
    <xf borderId="22" fillId="7" fontId="13" numFmtId="3" xfId="0" applyAlignment="1" applyBorder="1" applyFont="1" applyNumberFormat="1">
      <alignment horizontal="left" shrinkToFit="0" vertical="center" wrapText="1"/>
    </xf>
    <xf borderId="6" fillId="7" fontId="13" numFmtId="3" xfId="0" applyAlignment="1" applyBorder="1" applyFont="1" applyNumberFormat="1">
      <alignment horizontal="center" vertical="center"/>
    </xf>
    <xf borderId="12" fillId="12" fontId="14" numFmtId="43" xfId="0" applyAlignment="1" applyBorder="1" applyFill="1" applyFont="1" applyNumberFormat="1">
      <alignment horizontal="center"/>
    </xf>
    <xf borderId="6" fillId="7" fontId="6" numFmtId="0" xfId="0" applyAlignment="1" applyBorder="1" applyFont="1">
      <alignment horizontal="center" vertical="center"/>
    </xf>
    <xf borderId="20" fillId="12" fontId="14" numFmtId="43" xfId="0" applyAlignment="1" applyBorder="1" applyFont="1" applyNumberFormat="1">
      <alignment readingOrder="0"/>
    </xf>
    <xf borderId="22" fillId="12" fontId="14" numFmtId="43" xfId="0" applyAlignment="1" applyBorder="1" applyFont="1" applyNumberFormat="1">
      <alignment horizontal="left"/>
    </xf>
    <xf borderId="6" fillId="7" fontId="17" numFmtId="43" xfId="0" applyAlignment="1" applyBorder="1" applyFont="1" applyNumberFormat="1">
      <alignment horizontal="center" shrinkToFit="0" vertical="center" wrapText="1"/>
    </xf>
    <xf borderId="0" fillId="0" fontId="14" numFmtId="43" xfId="0" applyFont="1" applyNumberFormat="1"/>
    <xf borderId="4" fillId="7" fontId="13" numFmtId="0" xfId="0" applyAlignment="1" applyBorder="1" applyFont="1">
      <alignment horizontal="left" shrinkToFit="0" vertical="center" wrapText="1"/>
    </xf>
    <xf borderId="6" fillId="11" fontId="13" numFmtId="0" xfId="0" applyAlignment="1" applyBorder="1" applyFont="1">
      <alignment horizontal="center" vertical="center"/>
    </xf>
    <xf borderId="23" fillId="4" fontId="20" numFmtId="0" xfId="0" applyAlignment="1" applyBorder="1" applyFont="1">
      <alignment shrinkToFit="0" vertical="center" wrapText="1"/>
    </xf>
    <xf borderId="6" fillId="11" fontId="13" numFmtId="0" xfId="0" applyAlignment="1" applyBorder="1" applyFont="1">
      <alignment horizontal="center" shrinkToFit="0" vertical="center" wrapText="1"/>
    </xf>
    <xf borderId="23" fillId="7" fontId="20" numFmtId="0" xfId="0" applyAlignment="1" applyBorder="1" applyFont="1">
      <alignment shrinkToFit="0" vertical="center" wrapText="1"/>
    </xf>
    <xf borderId="6" fillId="11" fontId="13" numFmtId="3" xfId="0" applyAlignment="1" applyBorder="1" applyFont="1" applyNumberFormat="1">
      <alignment horizontal="center" vertical="center"/>
    </xf>
    <xf borderId="6" fillId="11" fontId="13" numFmtId="0" xfId="0" applyAlignment="1" applyBorder="1" applyFont="1">
      <alignment horizontal="left" shrinkToFit="0" vertical="center" wrapText="1"/>
    </xf>
    <xf borderId="4" fillId="7" fontId="14" numFmtId="43" xfId="0" applyAlignment="1" applyBorder="1" applyFont="1" applyNumberFormat="1">
      <alignment horizontal="center"/>
    </xf>
    <xf borderId="4" fillId="7" fontId="14" numFmtId="43" xfId="0" applyAlignment="1" applyBorder="1" applyFont="1" applyNumberFormat="1">
      <alignment horizontal="left"/>
    </xf>
    <xf borderId="6" fillId="2" fontId="21" numFmtId="164" xfId="0" applyAlignment="1" applyBorder="1" applyFont="1" applyNumberFormat="1">
      <alignment horizontal="center" vertical="center"/>
    </xf>
    <xf borderId="6" fillId="7" fontId="13" numFmtId="0" xfId="0" applyAlignment="1" applyBorder="1" applyFont="1">
      <alignment horizontal="center" vertical="center"/>
    </xf>
    <xf borderId="6" fillId="7" fontId="13" numFmtId="0" xfId="0" applyAlignment="1" applyBorder="1" applyFont="1">
      <alignment horizontal="center" shrinkToFit="0" vertical="center" wrapText="1"/>
    </xf>
    <xf borderId="6" fillId="7" fontId="17" numFmtId="3" xfId="0" applyAlignment="1" applyBorder="1" applyFont="1" applyNumberFormat="1">
      <alignment horizontal="center" vertical="center"/>
    </xf>
    <xf borderId="4" fillId="7" fontId="6" numFmtId="43" xfId="0" applyAlignment="1" applyBorder="1" applyFont="1" applyNumberFormat="1">
      <alignment horizontal="left"/>
    </xf>
    <xf borderId="24" fillId="7" fontId="13" numFmtId="0" xfId="0" applyAlignment="1" applyBorder="1" applyFont="1">
      <alignment horizontal="left" shrinkToFit="0" vertical="center" wrapText="1"/>
    </xf>
    <xf borderId="25" fillId="7" fontId="13" numFmtId="0" xfId="0" applyAlignment="1" applyBorder="1" applyFont="1">
      <alignment horizontal="left" shrinkToFit="0" vertical="center" wrapText="1"/>
    </xf>
    <xf borderId="25" fillId="7" fontId="13" numFmtId="3" xfId="0" applyAlignment="1" applyBorder="1" applyFont="1" applyNumberFormat="1">
      <alignment horizontal="left" shrinkToFit="0" vertical="center" wrapText="1"/>
    </xf>
    <xf borderId="25" fillId="2" fontId="6" numFmtId="164" xfId="0" applyAlignment="1" applyBorder="1" applyFont="1" applyNumberFormat="1">
      <alignment horizontal="left" readingOrder="0"/>
    </xf>
    <xf borderId="25" fillId="0" fontId="6" numFmtId="43" xfId="0" applyAlignment="1" applyBorder="1" applyFont="1" applyNumberFormat="1">
      <alignment horizontal="left"/>
    </xf>
    <xf borderId="26" fillId="2" fontId="6" numFmtId="164" xfId="0" applyAlignment="1" applyBorder="1" applyFont="1" applyNumberFormat="1">
      <alignment horizontal="left"/>
    </xf>
    <xf borderId="27" fillId="7" fontId="13" numFmtId="0" xfId="0" applyAlignment="1" applyBorder="1" applyFont="1">
      <alignment horizontal="left" shrinkToFit="0" vertical="center" wrapText="1"/>
    </xf>
    <xf borderId="17" fillId="0" fontId="6" numFmtId="0" xfId="0" applyAlignment="1" applyBorder="1" applyFont="1">
      <alignment vertical="center"/>
    </xf>
    <xf borderId="17" fillId="0" fontId="6" numFmtId="0" xfId="0" applyAlignment="1" applyBorder="1" applyFont="1">
      <alignment shrinkToFit="0" vertical="center" wrapText="1"/>
    </xf>
    <xf borderId="28" fillId="0" fontId="6" numFmtId="43" xfId="0" applyAlignment="1" applyBorder="1" applyFont="1" applyNumberFormat="1">
      <alignment horizontal="left"/>
    </xf>
    <xf borderId="17" fillId="0" fontId="6" numFmtId="43" xfId="0" applyAlignment="1" applyBorder="1" applyFont="1" applyNumberFormat="1">
      <alignment vertical="center"/>
    </xf>
    <xf borderId="6" fillId="13" fontId="13" numFmtId="0" xfId="0" applyAlignment="1" applyBorder="1" applyFill="1" applyFont="1">
      <alignment horizontal="center" shrinkToFit="0" vertical="center" wrapText="1"/>
    </xf>
    <xf borderId="6" fillId="13" fontId="20" numFmtId="3" xfId="0" applyAlignment="1" applyBorder="1" applyFont="1" applyNumberFormat="1">
      <alignment horizontal="center" vertical="center"/>
    </xf>
    <xf borderId="6" fillId="13" fontId="13" numFmtId="0" xfId="0" applyAlignment="1" applyBorder="1" applyFont="1">
      <alignment horizontal="left" shrinkToFit="0" vertical="center" wrapText="1"/>
    </xf>
    <xf borderId="28" fillId="2" fontId="6" numFmtId="164" xfId="0" applyAlignment="1" applyBorder="1" applyFont="1" applyNumberFormat="1">
      <alignment horizontal="left"/>
    </xf>
    <xf borderId="6" fillId="0" fontId="17" numFmtId="0" xfId="0" applyAlignment="1" applyBorder="1" applyFont="1">
      <alignment horizontal="center" vertical="center"/>
    </xf>
    <xf borderId="6" fillId="2" fontId="17" numFmtId="164" xfId="0" applyAlignment="1" applyBorder="1" applyFont="1" applyNumberFormat="1">
      <alignment horizontal="center" readingOrder="0" shrinkToFit="0" vertical="center" wrapText="1"/>
    </xf>
    <xf borderId="6" fillId="2" fontId="6" numFmtId="164" xfId="0" applyAlignment="1" applyBorder="1" applyFont="1" applyNumberFormat="1">
      <alignment horizontal="center" readingOrder="0" vertical="center"/>
    </xf>
    <xf borderId="0" fillId="0" fontId="22" numFmtId="43" xfId="0" applyFont="1" applyNumberFormat="1"/>
    <xf borderId="6" fillId="0" fontId="6" numFmtId="164" xfId="0" applyBorder="1" applyFont="1" applyNumberFormat="1"/>
    <xf borderId="6" fillId="7" fontId="15" numFmtId="0" xfId="0" applyAlignment="1" applyBorder="1" applyFont="1">
      <alignment horizontal="left" shrinkToFit="0" vertical="center" wrapText="1"/>
    </xf>
    <xf borderId="6" fillId="2" fontId="6" numFmtId="164" xfId="0" applyAlignment="1" applyBorder="1" applyFont="1" applyNumberFormat="1">
      <alignment horizontal="center" vertical="center"/>
    </xf>
    <xf borderId="16" fillId="7" fontId="6" numFmtId="43" xfId="0" applyBorder="1" applyFont="1" applyNumberFormat="1"/>
    <xf borderId="29" fillId="11" fontId="14" numFmtId="43" xfId="0" applyBorder="1" applyFont="1" applyNumberFormat="1"/>
    <xf borderId="0" fillId="0" fontId="6" numFmtId="4" xfId="0" applyFont="1" applyNumberFormat="1"/>
    <xf borderId="4" fillId="14" fontId="14" numFmtId="43" xfId="0" applyBorder="1" applyFill="1" applyFont="1" applyNumberFormat="1"/>
    <xf borderId="6" fillId="2" fontId="13" numFmtId="164" xfId="0" applyAlignment="1" applyBorder="1" applyFont="1" applyNumberFormat="1">
      <alignment horizontal="center" readingOrder="0" vertical="center"/>
    </xf>
    <xf borderId="6" fillId="2" fontId="13" numFmtId="164" xfId="0" applyAlignment="1" applyBorder="1" applyFont="1" applyNumberFormat="1">
      <alignment horizontal="center" vertical="center"/>
    </xf>
    <xf borderId="6" fillId="2" fontId="6" numFmtId="164" xfId="0" applyBorder="1" applyFont="1" applyNumberFormat="1"/>
    <xf borderId="6" fillId="15" fontId="6" numFmtId="43" xfId="0" applyAlignment="1" applyBorder="1" applyFill="1" applyFont="1" applyNumberFormat="1">
      <alignment horizontal="left"/>
    </xf>
    <xf borderId="6" fillId="7" fontId="13" numFmtId="0" xfId="0" applyAlignment="1" applyBorder="1" applyFont="1">
      <alignment shrinkToFit="0" vertical="center" wrapText="1"/>
    </xf>
    <xf borderId="6" fillId="7" fontId="6" numFmtId="43" xfId="0" applyBorder="1" applyFont="1" applyNumberFormat="1"/>
    <xf borderId="28" fillId="2" fontId="6" numFmtId="164" xfId="0" applyBorder="1" applyFont="1" applyNumberFormat="1"/>
    <xf borderId="6" fillId="7" fontId="15" numFmtId="3" xfId="0" applyAlignment="1" applyBorder="1" applyFont="1" applyNumberFormat="1">
      <alignment horizontal="left" shrinkToFit="0" vertical="center" wrapText="1"/>
    </xf>
    <xf borderId="30" fillId="7" fontId="13" numFmtId="0" xfId="0" applyAlignment="1" applyBorder="1" applyFont="1">
      <alignment horizontal="left" shrinkToFit="0" vertical="center" wrapText="1"/>
    </xf>
    <xf borderId="31" fillId="7" fontId="13" numFmtId="0" xfId="0" applyAlignment="1" applyBorder="1" applyFont="1">
      <alignment horizontal="center" shrinkToFit="0" vertical="center" wrapText="1"/>
    </xf>
    <xf borderId="31" fillId="7" fontId="13" numFmtId="0" xfId="0" applyAlignment="1" applyBorder="1" applyFont="1">
      <alignment shrinkToFit="0" vertical="center" wrapText="1"/>
    </xf>
    <xf borderId="31" fillId="7" fontId="13" numFmtId="3" xfId="0" applyAlignment="1" applyBorder="1" applyFont="1" applyNumberFormat="1">
      <alignment horizontal="center" shrinkToFit="0" vertical="center" wrapText="1"/>
    </xf>
    <xf borderId="32" fillId="12" fontId="14" numFmtId="43" xfId="0" applyAlignment="1" applyBorder="1" applyFont="1" applyNumberFormat="1">
      <alignment horizontal="center"/>
    </xf>
    <xf borderId="33" fillId="0" fontId="9" numFmtId="0" xfId="0" applyBorder="1" applyFont="1"/>
    <xf borderId="31" fillId="12" fontId="14" numFmtId="43" xfId="0" applyAlignment="1" applyBorder="1" applyFont="1" applyNumberFormat="1">
      <alignment readingOrder="0"/>
    </xf>
    <xf borderId="34" fillId="12" fontId="14" numFmtId="43" xfId="0" applyBorder="1" applyFont="1" applyNumberFormat="1"/>
    <xf borderId="6" fillId="0" fontId="20" numFmtId="0" xfId="0" applyAlignment="1" applyBorder="1" applyFont="1">
      <alignment horizontal="left" shrinkToFit="0" vertical="center" wrapText="1"/>
    </xf>
    <xf borderId="4" fillId="7" fontId="13" numFmtId="0" xfId="0" applyAlignment="1" applyBorder="1" applyFont="1">
      <alignment shrinkToFit="0" vertical="center" wrapText="1"/>
    </xf>
    <xf borderId="4" fillId="4" fontId="20" numFmtId="0" xfId="0" applyAlignment="1" applyBorder="1" applyFont="1">
      <alignment shrinkToFit="0" vertical="center" wrapText="1"/>
    </xf>
    <xf borderId="4" fillId="7" fontId="13" numFmtId="3" xfId="0" applyAlignment="1" applyBorder="1" applyFont="1" applyNumberFormat="1">
      <alignment horizontal="left" shrinkToFit="0" vertical="center" wrapText="1"/>
    </xf>
    <xf borderId="4" fillId="7" fontId="14" numFmtId="43" xfId="0" applyBorder="1" applyFont="1" applyNumberFormat="1"/>
    <xf borderId="6" fillId="2" fontId="15" numFmtId="164" xfId="0" applyAlignment="1" applyBorder="1" applyFont="1" applyNumberFormat="1">
      <alignment horizontal="center" shrinkToFit="0" vertical="center" wrapText="1"/>
    </xf>
    <xf borderId="35" fillId="7" fontId="13" numFmtId="0" xfId="0" applyAlignment="1" applyBorder="1" applyFont="1">
      <alignment horizontal="left" shrinkToFit="0" vertical="center" wrapText="1"/>
    </xf>
    <xf borderId="36" fillId="7" fontId="13" numFmtId="0" xfId="0" applyAlignment="1" applyBorder="1" applyFont="1">
      <alignment horizontal="left" shrinkToFit="0" vertical="center" wrapText="1"/>
    </xf>
    <xf borderId="36" fillId="7" fontId="13" numFmtId="0" xfId="0" applyAlignment="1" applyBorder="1" applyFont="1">
      <alignment shrinkToFit="0" vertical="center" wrapText="1"/>
    </xf>
    <xf borderId="37" fillId="7" fontId="13" numFmtId="3" xfId="0" applyAlignment="1" applyBorder="1" applyFont="1" applyNumberFormat="1">
      <alignment horizontal="left" shrinkToFit="0" vertical="center" wrapText="1"/>
    </xf>
    <xf borderId="38" fillId="0" fontId="6" numFmtId="43" xfId="0" applyBorder="1" applyFont="1" applyNumberFormat="1"/>
    <xf borderId="39" fillId="2" fontId="6" numFmtId="164" xfId="0" applyBorder="1" applyFont="1" applyNumberFormat="1"/>
    <xf borderId="40" fillId="7" fontId="13" numFmtId="3" xfId="0" applyAlignment="1" applyBorder="1" applyFont="1" applyNumberFormat="1">
      <alignment horizontal="left" shrinkToFit="0" vertical="center" wrapText="1"/>
    </xf>
    <xf borderId="28" fillId="0" fontId="6" numFmtId="43" xfId="0" applyBorder="1" applyFont="1" applyNumberFormat="1"/>
    <xf borderId="6" fillId="7" fontId="15" numFmtId="43" xfId="0" applyAlignment="1" applyBorder="1" applyFont="1" applyNumberFormat="1">
      <alignment horizontal="center" shrinkToFit="0" vertical="center" wrapText="1"/>
    </xf>
    <xf borderId="41" fillId="0" fontId="23" numFmtId="0" xfId="0" applyAlignment="1" applyBorder="1" applyFont="1">
      <alignment readingOrder="0"/>
    </xf>
    <xf borderId="41" fillId="0" fontId="9" numFmtId="0" xfId="0" applyBorder="1" applyFont="1"/>
    <xf borderId="6" fillId="16" fontId="13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readingOrder="0"/>
    </xf>
    <xf borderId="0" fillId="0" fontId="24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40" fillId="7" fontId="13" numFmtId="0" xfId="0" applyAlignment="1" applyBorder="1" applyFont="1">
      <alignment horizontal="left" shrinkToFit="0" vertical="center" wrapText="1"/>
    </xf>
    <xf borderId="0" fillId="0" fontId="2" numFmtId="43" xfId="0" applyFont="1" applyNumberFormat="1"/>
    <xf borderId="6" fillId="0" fontId="13" numFmtId="0" xfId="0" applyAlignment="1" applyBorder="1" applyFont="1">
      <alignment shrinkToFit="0" vertical="center" wrapText="1"/>
    </xf>
    <xf borderId="0" fillId="0" fontId="25" numFmtId="0" xfId="0" applyAlignment="1" applyFont="1">
      <alignment horizontal="center" readingOrder="0"/>
    </xf>
    <xf borderId="6" fillId="7" fontId="15" numFmtId="0" xfId="0" applyAlignment="1" applyBorder="1" applyFont="1">
      <alignment shrinkToFit="0" vertical="center" wrapText="1"/>
    </xf>
    <xf borderId="6" fillId="0" fontId="26" numFmtId="0" xfId="0" applyAlignment="1" applyBorder="1" applyFont="1">
      <alignment horizontal="center" shrinkToFit="0" vertical="top" wrapText="1"/>
    </xf>
    <xf borderId="0" fillId="17" fontId="23" numFmtId="166" xfId="0" applyAlignment="1" applyFill="1" applyFont="1" applyNumberFormat="1">
      <alignment horizontal="center" vertical="center"/>
    </xf>
    <xf borderId="0" fillId="18" fontId="23" numFmtId="166" xfId="0" applyAlignment="1" applyFill="1" applyFont="1" applyNumberFormat="1">
      <alignment horizontal="center" vertical="center"/>
    </xf>
    <xf borderId="28" fillId="0" fontId="6" numFmtId="0" xfId="0" applyBorder="1" applyFont="1"/>
    <xf borderId="0" fillId="0" fontId="27" numFmtId="0" xfId="0" applyAlignment="1" applyFont="1">
      <alignment shrinkToFit="0" wrapText="1"/>
    </xf>
    <xf borderId="27" fillId="0" fontId="13" numFmtId="0" xfId="0" applyAlignment="1" applyBorder="1" applyFont="1">
      <alignment horizontal="left" shrinkToFit="0" vertical="center" wrapText="1"/>
    </xf>
    <xf borderId="0" fillId="0" fontId="2" numFmtId="164" xfId="0" applyFont="1" applyNumberFormat="1"/>
    <xf borderId="6" fillId="0" fontId="13" numFmtId="43" xfId="0" applyAlignment="1" applyBorder="1" applyFont="1" applyNumberFormat="1">
      <alignment horizontal="center" shrinkToFit="0" vertical="center" wrapText="1"/>
    </xf>
    <xf borderId="4" fillId="19" fontId="28" numFmtId="43" xfId="0" applyBorder="1" applyFill="1" applyFont="1" applyNumberFormat="1"/>
    <xf borderId="6" fillId="0" fontId="13" numFmtId="3" xfId="0" applyAlignment="1" applyBorder="1" applyFont="1" applyNumberFormat="1">
      <alignment horizontal="left" shrinkToFit="0" vertical="center" wrapText="1"/>
    </xf>
    <xf borderId="42" fillId="7" fontId="13" numFmtId="0" xfId="0" applyAlignment="1" applyBorder="1" applyFont="1">
      <alignment horizontal="left" shrinkToFit="0" vertical="center" wrapText="1"/>
    </xf>
    <xf borderId="17" fillId="0" fontId="13" numFmtId="0" xfId="0" applyAlignment="1" applyBorder="1" applyFont="1">
      <alignment shrinkToFit="0" vertical="center" wrapText="1"/>
    </xf>
    <xf borderId="17" fillId="0" fontId="15" numFmtId="3" xfId="0" applyAlignment="1" applyBorder="1" applyFont="1" applyNumberFormat="1">
      <alignment horizontal="left" shrinkToFit="0" vertical="center" wrapText="1"/>
    </xf>
    <xf borderId="17" fillId="0" fontId="13" numFmtId="3" xfId="0" applyAlignment="1" applyBorder="1" applyFont="1" applyNumberFormat="1">
      <alignment horizontal="left" shrinkToFit="0" vertical="center" wrapText="1"/>
    </xf>
    <xf borderId="17" fillId="2" fontId="6" numFmtId="164" xfId="0" applyBorder="1" applyFont="1" applyNumberFormat="1"/>
    <xf borderId="43" fillId="0" fontId="6" numFmtId="43" xfId="0" applyBorder="1" applyFont="1" applyNumberFormat="1"/>
    <xf borderId="19" fillId="7" fontId="15" numFmtId="0" xfId="0" applyAlignment="1" applyBorder="1" applyFont="1">
      <alignment horizontal="left" shrinkToFit="0" vertical="center" wrapText="1"/>
    </xf>
    <xf borderId="20" fillId="0" fontId="15" numFmtId="0" xfId="0" applyAlignment="1" applyBorder="1" applyFont="1">
      <alignment horizontal="center" shrinkToFit="0" vertical="center" wrapText="1"/>
    </xf>
    <xf borderId="20" fillId="0" fontId="13" numFmtId="0" xfId="0" applyAlignment="1" applyBorder="1" applyFont="1">
      <alignment horizontal="center" shrinkToFit="0" vertical="center" wrapText="1"/>
    </xf>
    <xf borderId="20" fillId="0" fontId="13" numFmtId="0" xfId="0" applyAlignment="1" applyBorder="1" applyFont="1">
      <alignment horizontal="left" shrinkToFit="0" vertical="center" wrapText="1"/>
    </xf>
    <xf borderId="20" fillId="0" fontId="13" numFmtId="3" xfId="0" applyAlignment="1" applyBorder="1" applyFont="1" applyNumberFormat="1">
      <alignment horizontal="left" shrinkToFit="0" vertical="center" wrapText="1"/>
    </xf>
    <xf borderId="44" fillId="12" fontId="14" numFmtId="0" xfId="0" applyAlignment="1" applyBorder="1" applyFont="1">
      <alignment horizontal="center"/>
    </xf>
    <xf borderId="45" fillId="0" fontId="9" numFmtId="0" xfId="0" applyBorder="1" applyFont="1"/>
    <xf borderId="20" fillId="12" fontId="14" numFmtId="4" xfId="0" applyAlignment="1" applyBorder="1" applyFont="1" applyNumberFormat="1">
      <alignment readingOrder="0"/>
    </xf>
    <xf borderId="22" fillId="12" fontId="14" numFmtId="43" xfId="0" applyBorder="1" applyFont="1" applyNumberFormat="1"/>
    <xf borderId="4" fillId="7" fontId="15" numFmtId="0" xfId="0" applyAlignment="1" applyBorder="1" applyFont="1">
      <alignment horizontal="left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4" fillId="4" fontId="29" numFmtId="0" xfId="0" applyAlignment="1" applyBorder="1" applyFont="1">
      <alignment horizontal="center" shrinkToFit="0" vertical="center" wrapText="1"/>
    </xf>
    <xf borderId="0" fillId="0" fontId="13" numFmtId="3" xfId="0" applyAlignment="1" applyFont="1" applyNumberFormat="1">
      <alignment horizontal="left" shrinkToFit="0" vertical="center" wrapText="1"/>
    </xf>
    <xf borderId="4" fillId="12" fontId="14" numFmtId="0" xfId="0" applyAlignment="1" applyBorder="1" applyFont="1">
      <alignment horizontal="center"/>
    </xf>
    <xf borderId="4" fillId="12" fontId="14" numFmtId="4" xfId="0" applyBorder="1" applyFont="1" applyNumberFormat="1"/>
    <xf borderId="4" fillId="12" fontId="14" numFmtId="43" xfId="0" applyBorder="1" applyFont="1" applyNumberFormat="1"/>
    <xf borderId="38" fillId="2" fontId="6" numFmtId="164" xfId="0" applyBorder="1" applyFont="1" applyNumberFormat="1"/>
    <xf borderId="6" fillId="7" fontId="17" numFmtId="0" xfId="0" applyAlignment="1" applyBorder="1" applyFont="1">
      <alignment horizontal="center" vertical="center"/>
    </xf>
    <xf borderId="6" fillId="7" fontId="17" numFmtId="0" xfId="0" applyAlignment="1" applyBorder="1" applyFont="1">
      <alignment horizontal="left" shrinkToFit="0" vertical="center" wrapText="1"/>
    </xf>
    <xf borderId="17" fillId="0" fontId="17" numFmtId="3" xfId="0" applyAlignment="1" applyBorder="1" applyFont="1" applyNumberFormat="1">
      <alignment horizontal="center" vertical="center"/>
    </xf>
    <xf borderId="17" fillId="0" fontId="13" numFmtId="0" xfId="0" applyAlignment="1" applyBorder="1" applyFont="1">
      <alignment horizontal="center" shrinkToFit="0" vertical="center" wrapText="1"/>
    </xf>
    <xf borderId="17" fillId="0" fontId="13" numFmtId="3" xfId="0" applyAlignment="1" applyBorder="1" applyFont="1" applyNumberFormat="1">
      <alignment horizontal="center" vertical="center"/>
    </xf>
    <xf borderId="17" fillId="0" fontId="17" numFmtId="0" xfId="0" applyAlignment="1" applyBorder="1" applyFont="1">
      <alignment horizontal="left" shrinkToFit="0" vertical="center" wrapText="1"/>
    </xf>
    <xf borderId="6" fillId="0" fontId="30" numFmtId="0" xfId="0" applyAlignment="1" applyBorder="1" applyFont="1">
      <alignment horizontal="center" vertical="center"/>
    </xf>
    <xf borderId="6" fillId="0" fontId="30" numFmtId="0" xfId="0" applyAlignment="1" applyBorder="1" applyFont="1">
      <alignment horizontal="center" shrinkToFit="0" vertical="center" wrapText="1"/>
    </xf>
    <xf borderId="6" fillId="0" fontId="30" numFmtId="3" xfId="0" applyAlignment="1" applyBorder="1" applyFont="1" applyNumberFormat="1">
      <alignment horizontal="center" vertical="center"/>
    </xf>
    <xf borderId="6" fillId="0" fontId="30" numFmtId="0" xfId="0" applyAlignment="1" applyBorder="1" applyFont="1">
      <alignment horizontal="left" shrinkToFit="0" vertical="center" wrapText="1"/>
    </xf>
    <xf borderId="6" fillId="2" fontId="30" numFmtId="164" xfId="0" applyAlignment="1" applyBorder="1" applyFont="1" applyNumberFormat="1">
      <alignment horizontal="center" shrinkToFit="0" vertical="center" wrapText="1"/>
    </xf>
    <xf borderId="6" fillId="0" fontId="15" numFmtId="0" xfId="0" applyAlignment="1" applyBorder="1" applyFont="1">
      <alignment horizontal="left" shrinkToFit="0" vertical="center" wrapText="1"/>
    </xf>
    <xf borderId="6" fillId="0" fontId="17" numFmtId="3" xfId="0" applyAlignment="1" applyBorder="1" applyFont="1" applyNumberFormat="1">
      <alignment horizontal="center" vertical="center"/>
    </xf>
    <xf borderId="44" fillId="7" fontId="14" numFmtId="0" xfId="0" applyAlignment="1" applyBorder="1" applyFont="1">
      <alignment horizontal="center"/>
    </xf>
    <xf borderId="6" fillId="0" fontId="17" numFmtId="0" xfId="0" applyAlignment="1" applyBorder="1" applyFont="1">
      <alignment horizontal="left" shrinkToFit="0" vertical="center" wrapText="1"/>
    </xf>
    <xf borderId="20" fillId="7" fontId="14" numFmtId="4" xfId="0" applyAlignment="1" applyBorder="1" applyFont="1" applyNumberFormat="1">
      <alignment readingOrder="0"/>
    </xf>
    <xf borderId="22" fillId="7" fontId="14" numFmtId="43" xfId="0" applyBorder="1" applyFont="1" applyNumberFormat="1"/>
    <xf borderId="0" fillId="0" fontId="13" numFmtId="0" xfId="0" applyAlignment="1" applyFont="1">
      <alignment horizontal="left" shrinkToFit="0" vertical="center" wrapText="1"/>
    </xf>
    <xf borderId="4" fillId="7" fontId="14" numFmtId="0" xfId="0" applyAlignment="1" applyBorder="1" applyFont="1">
      <alignment horizontal="center"/>
    </xf>
    <xf borderId="46" fillId="7" fontId="14" numFmtId="4" xfId="0" applyBorder="1" applyFont="1" applyNumberFormat="1"/>
    <xf borderId="4" fillId="7" fontId="15" numFmtId="0" xfId="0" applyAlignment="1" applyBorder="1" applyFont="1">
      <alignment horizontal="center" shrinkToFit="0" vertical="center" wrapText="1"/>
    </xf>
    <xf borderId="4" fillId="7" fontId="13" numFmtId="0" xfId="0" applyAlignment="1" applyBorder="1" applyFont="1">
      <alignment horizontal="center" shrinkToFit="0" vertical="center" wrapText="1"/>
    </xf>
    <xf borderId="4" fillId="7" fontId="20" numFmtId="3" xfId="0" applyAlignment="1" applyBorder="1" applyFont="1" applyNumberFormat="1">
      <alignment horizontal="left" shrinkToFit="0" vertical="center" wrapText="1"/>
    </xf>
    <xf borderId="4" fillId="7" fontId="15" numFmtId="0" xfId="0" applyAlignment="1" applyBorder="1" applyFont="1">
      <alignment shrinkToFit="0" vertical="center" wrapText="1"/>
    </xf>
    <xf borderId="0" fillId="0" fontId="15" numFmtId="0" xfId="0" applyAlignment="1" applyFont="1">
      <alignment shrinkToFit="0" vertical="center" wrapText="1"/>
    </xf>
    <xf borderId="29" fillId="0" fontId="13" numFmtId="3" xfId="0" applyAlignment="1" applyBorder="1" applyFont="1" applyNumberFormat="1">
      <alignment shrinkToFit="0" vertical="center" wrapText="1"/>
    </xf>
    <xf borderId="12" fillId="0" fontId="13" numFmtId="43" xfId="0" applyAlignment="1" applyBorder="1" applyFont="1" applyNumberFormat="1">
      <alignment shrinkToFit="0" vertical="center" wrapText="1"/>
    </xf>
    <xf borderId="29" fillId="0" fontId="13" numFmtId="43" xfId="0" applyAlignment="1" applyBorder="1" applyFont="1" applyNumberFormat="1">
      <alignment horizontal="left" shrinkToFit="0" vertical="center" wrapText="1"/>
    </xf>
    <xf borderId="29" fillId="11" fontId="15" numFmtId="43" xfId="0" applyAlignment="1" applyBorder="1" applyFont="1" applyNumberFormat="1">
      <alignment shrinkToFit="0" vertical="center" wrapText="1"/>
    </xf>
    <xf borderId="6" fillId="7" fontId="30" numFmtId="0" xfId="0" applyAlignment="1" applyBorder="1" applyFont="1">
      <alignment horizontal="center" vertical="center"/>
    </xf>
    <xf borderId="6" fillId="7" fontId="30" numFmtId="0" xfId="0" applyAlignment="1" applyBorder="1" applyFont="1">
      <alignment horizontal="center" shrinkToFit="0" vertical="center" wrapText="1"/>
    </xf>
    <xf borderId="6" fillId="7" fontId="30" numFmtId="3" xfId="0" applyAlignment="1" applyBorder="1" applyFont="1" applyNumberFormat="1">
      <alignment horizontal="center" vertical="center"/>
    </xf>
    <xf borderId="6" fillId="7" fontId="30" numFmtId="0" xfId="0" applyAlignment="1" applyBorder="1" applyFont="1">
      <alignment horizontal="left" shrinkToFit="0" vertical="center" wrapText="1"/>
    </xf>
    <xf borderId="4" fillId="20" fontId="14" numFmtId="43" xfId="0" applyBorder="1" applyFill="1" applyFont="1" applyNumberFormat="1"/>
    <xf borderId="6" fillId="7" fontId="30" numFmtId="43" xfId="0" applyAlignment="1" applyBorder="1" applyFont="1" applyNumberFormat="1">
      <alignment horizontal="center" shrinkToFit="0" vertical="center" wrapText="1"/>
    </xf>
    <xf borderId="47" fillId="0" fontId="13" numFmtId="3" xfId="0" applyAlignment="1" applyBorder="1" applyFont="1" applyNumberFormat="1">
      <alignment shrinkToFit="0" vertical="center" wrapText="1"/>
    </xf>
    <xf borderId="6" fillId="7" fontId="13" numFmtId="43" xfId="0" applyAlignment="1" applyBorder="1" applyFont="1" applyNumberFormat="1">
      <alignment horizontal="center" readingOrder="0" shrinkToFit="0" vertical="center" wrapText="1"/>
    </xf>
    <xf borderId="47" fillId="0" fontId="13" numFmtId="43" xfId="0" applyAlignment="1" applyBorder="1" applyFont="1" applyNumberFormat="1">
      <alignment shrinkToFit="0" vertical="center" wrapText="1"/>
    </xf>
    <xf borderId="0" fillId="0" fontId="13" numFmtId="43" xfId="0" applyAlignment="1" applyFont="1" applyNumberFormat="1">
      <alignment horizontal="left" shrinkToFit="0" vertical="center" wrapText="1"/>
    </xf>
    <xf borderId="0" fillId="0" fontId="13" numFmtId="43" xfId="0" applyAlignment="1" applyFont="1" applyNumberFormat="1">
      <alignment shrinkToFit="0" vertical="center" wrapText="1"/>
    </xf>
    <xf borderId="48" fillId="0" fontId="13" numFmtId="3" xfId="0" applyAlignment="1" applyBorder="1" applyFont="1" applyNumberFormat="1">
      <alignment shrinkToFit="0" vertical="center" wrapText="1"/>
    </xf>
    <xf borderId="48" fillId="0" fontId="13" numFmtId="43" xfId="0" applyAlignment="1" applyBorder="1" applyFont="1" applyNumberFormat="1">
      <alignment shrinkToFit="0" vertical="center" wrapText="1"/>
    </xf>
    <xf borderId="0" fillId="0" fontId="20" numFmtId="43" xfId="0" applyAlignment="1" applyFont="1" applyNumberFormat="1">
      <alignment shrinkToFit="0" vertical="center" wrapText="1"/>
    </xf>
    <xf borderId="0" fillId="0" fontId="10" numFmtId="0" xfId="0" applyFont="1"/>
    <xf borderId="0" fillId="0" fontId="15" numFmtId="43" xfId="0" applyAlignment="1" applyFont="1" applyNumberFormat="1">
      <alignment horizontal="center" shrinkToFit="0" vertical="center" wrapText="1"/>
    </xf>
    <xf borderId="0" fillId="0" fontId="15" numFmtId="165" xfId="0" applyAlignment="1" applyFont="1" applyNumberFormat="1">
      <alignment horizontal="center" shrinkToFit="0" vertical="center" wrapText="1"/>
    </xf>
    <xf borderId="4" fillId="21" fontId="31" numFmtId="0" xfId="0" applyAlignment="1" applyBorder="1" applyFill="1" applyFont="1">
      <alignment horizontal="center"/>
    </xf>
    <xf borderId="0" fillId="0" fontId="6" numFmtId="0" xfId="0" applyAlignment="1" applyFont="1">
      <alignment horizontal="center" shrinkToFit="0" wrapText="1"/>
    </xf>
    <xf borderId="0" fillId="2" fontId="6" numFmtId="164" xfId="0" applyAlignment="1" applyFont="1" applyNumberFormat="1">
      <alignment readingOrder="0"/>
    </xf>
    <xf borderId="0" fillId="0" fontId="32" numFmtId="43" xfId="0" applyFont="1" applyNumberFormat="1"/>
    <xf borderId="4" fillId="2" fontId="6" numFmtId="164" xfId="0" applyAlignment="1" applyBorder="1" applyFont="1" applyNumberFormat="1">
      <alignment readingOrder="0"/>
    </xf>
    <xf borderId="0" fillId="0" fontId="33" numFmtId="43" xfId="0" applyFont="1" applyNumberFormat="1"/>
    <xf borderId="4" fillId="7" fontId="33" numFmtId="43" xfId="0" applyBorder="1" applyFont="1" applyNumberFormat="1"/>
    <xf borderId="4" fillId="7" fontId="33" numFmtId="0" xfId="0" applyBorder="1" applyFont="1"/>
    <xf borderId="4" fillId="2" fontId="6" numFmtId="164" xfId="0" applyBorder="1" applyFont="1" applyNumberFormat="1"/>
    <xf borderId="4" fillId="19" fontId="14" numFmtId="43" xfId="0" applyBorder="1" applyFont="1" applyNumberFormat="1"/>
    <xf borderId="4" fillId="7" fontId="34" numFmtId="43" xfId="0" applyBorder="1" applyFont="1" applyNumberFormat="1"/>
    <xf borderId="4" fillId="22" fontId="14" numFmtId="49" xfId="0" applyBorder="1" applyFill="1" applyFont="1" applyNumberFormat="1"/>
    <xf borderId="1" fillId="21" fontId="31" numFmtId="0" xfId="0" applyAlignment="1" applyBorder="1" applyFont="1">
      <alignment horizontal="center"/>
    </xf>
    <xf borderId="4" fillId="21" fontId="31" numFmtId="4" xfId="0" applyBorder="1" applyFont="1" applyNumberFormat="1"/>
    <xf borderId="4" fillId="9" fontId="6" numFmtId="43" xfId="0" applyBorder="1" applyFont="1" applyNumberFormat="1"/>
    <xf borderId="1" fillId="23" fontId="14" numFmtId="43" xfId="0" applyAlignment="1" applyBorder="1" applyFill="1" applyFont="1" applyNumberFormat="1">
      <alignment horizontal="center" shrinkToFit="0" wrapText="1"/>
    </xf>
    <xf borderId="1" fillId="24" fontId="31" numFmtId="0" xfId="0" applyAlignment="1" applyBorder="1" applyFill="1" applyFont="1">
      <alignment horizontal="center"/>
    </xf>
    <xf borderId="4" fillId="7" fontId="6" numFmtId="43" xfId="0" applyBorder="1" applyFont="1" applyNumberFormat="1"/>
    <xf borderId="4" fillId="24" fontId="31" numFmtId="0" xfId="0" applyAlignment="1" applyBorder="1" applyFont="1">
      <alignment horizontal="center"/>
    </xf>
    <xf borderId="4" fillId="2" fontId="31" numFmtId="164" xfId="0" applyBorder="1" applyFont="1" applyNumberFormat="1"/>
    <xf borderId="4" fillId="11" fontId="35" numFmtId="0" xfId="0" applyBorder="1" applyFont="1"/>
    <xf borderId="4" fillId="11" fontId="35" numFmtId="43" xfId="0" applyBorder="1" applyFont="1" applyNumberFormat="1"/>
    <xf borderId="4" fillId="7" fontId="35" numFmtId="43" xfId="0" applyBorder="1" applyFont="1" applyNumberFormat="1"/>
    <xf borderId="0" fillId="0" fontId="36" numFmtId="0" xfId="0" applyAlignment="1" applyFont="1">
      <alignment horizontal="center"/>
    </xf>
    <xf borderId="0" fillId="0" fontId="10" numFmtId="0" xfId="0" applyAlignment="1" applyFont="1">
      <alignment horizontal="center"/>
    </xf>
    <xf borderId="49" fillId="0" fontId="32" numFmtId="0" xfId="0" applyAlignment="1" applyBorder="1" applyFont="1">
      <alignment horizontal="left" shrinkToFit="0" vertical="top" wrapText="1"/>
    </xf>
    <xf borderId="50" fillId="0" fontId="9" numFmtId="0" xfId="0" applyBorder="1" applyFont="1"/>
    <xf borderId="51" fillId="0" fontId="9" numFmtId="0" xfId="0" applyBorder="1" applyFont="1"/>
    <xf borderId="0" fillId="0" fontId="32" numFmtId="43" xfId="0" applyAlignment="1" applyFont="1" applyNumberFormat="1">
      <alignment horizontal="left" shrinkToFit="0" vertical="top" wrapText="1"/>
    </xf>
    <xf borderId="4" fillId="7" fontId="15" numFmtId="43" xfId="0" applyBorder="1" applyFont="1" applyNumberFormat="1"/>
    <xf borderId="52" fillId="0" fontId="32" numFmtId="0" xfId="0" applyAlignment="1" applyBorder="1" applyFont="1">
      <alignment horizontal="left" shrinkToFit="0" vertical="top" wrapText="1"/>
    </xf>
    <xf borderId="53" fillId="0" fontId="9" numFmtId="0" xfId="0" applyBorder="1" applyFont="1"/>
    <xf borderId="54" fillId="0" fontId="9" numFmtId="0" xfId="0" applyBorder="1" applyFont="1"/>
    <xf borderId="0" fillId="0" fontId="32" numFmtId="0" xfId="0" applyAlignment="1" applyFont="1">
      <alignment horizontal="left" shrinkToFit="0" vertical="top" wrapText="1"/>
    </xf>
    <xf borderId="4" fillId="7" fontId="32" numFmtId="43" xfId="0" applyBorder="1" applyFont="1" applyNumberFormat="1"/>
    <xf borderId="4" fillId="7" fontId="6" numFmtId="0" xfId="0" applyBorder="1" applyFont="1"/>
    <xf borderId="1" fillId="25" fontId="6" numFmtId="0" xfId="0" applyAlignment="1" applyBorder="1" applyFill="1" applyFont="1">
      <alignment horizontal="center" shrinkToFit="0" wrapText="1"/>
    </xf>
    <xf borderId="6" fillId="7" fontId="17" numFmtId="43" xfId="0" applyAlignment="1" applyBorder="1" applyFont="1" applyNumberFormat="1">
      <alignment horizontal="center" readingOrder="0" shrinkToFit="0" vertical="center" wrapText="1"/>
    </xf>
    <xf borderId="4" fillId="25" fontId="6" numFmtId="0" xfId="0" applyAlignment="1" applyBorder="1" applyFont="1">
      <alignment horizontal="center" shrinkToFit="0" wrapText="1"/>
    </xf>
    <xf borderId="6" fillId="2" fontId="30" numFmtId="164" xfId="0" applyAlignment="1" applyBorder="1" applyFont="1" applyNumberFormat="1">
      <alignment horizontal="center" readingOrder="0" shrinkToFit="0" vertical="center" wrapText="1"/>
    </xf>
    <xf borderId="0" fillId="0" fontId="31" numFmtId="0" xfId="0" applyFont="1"/>
    <xf borderId="6" fillId="25" fontId="13" numFmtId="0" xfId="0" applyAlignment="1" applyBorder="1" applyFont="1">
      <alignment horizontal="center" vertical="center"/>
    </xf>
    <xf borderId="6" fillId="25" fontId="13" numFmtId="0" xfId="0" applyAlignment="1" applyBorder="1" applyFont="1">
      <alignment horizontal="center" shrinkToFit="0" vertical="center" wrapText="1"/>
    </xf>
    <xf borderId="6" fillId="0" fontId="32" numFmtId="43" xfId="0" applyBorder="1" applyFont="1" applyNumberFormat="1"/>
    <xf borderId="6" fillId="25" fontId="13" numFmtId="3" xfId="0" applyAlignment="1" applyBorder="1" applyFont="1" applyNumberFormat="1">
      <alignment horizontal="center" vertical="center"/>
    </xf>
    <xf borderId="6" fillId="25" fontId="17" numFmtId="0" xfId="0" applyAlignment="1" applyBorder="1" applyFont="1">
      <alignment horizontal="left" shrinkToFit="0" vertical="center" wrapText="1"/>
    </xf>
    <xf borderId="0" fillId="0" fontId="14" numFmtId="0" xfId="0" applyFont="1"/>
    <xf borderId="0" fillId="0" fontId="10" numFmtId="0" xfId="0" applyAlignment="1" applyFont="1">
      <alignment vertical="center"/>
    </xf>
    <xf borderId="6" fillId="2" fontId="29" numFmtId="164" xfId="0" applyAlignment="1" applyBorder="1" applyFont="1" applyNumberFormat="1">
      <alignment horizontal="center" shrinkToFit="0" vertical="center" wrapText="1"/>
    </xf>
    <xf borderId="0" fillId="0" fontId="33" numFmtId="0" xfId="0" applyFont="1"/>
    <xf borderId="0" fillId="0" fontId="10" numFmtId="4" xfId="0" applyFont="1" applyNumberFormat="1"/>
    <xf borderId="4" fillId="7" fontId="6" numFmtId="165" xfId="0" applyBorder="1" applyFont="1" applyNumberFormat="1"/>
    <xf borderId="6" fillId="0" fontId="31" numFmtId="43" xfId="0" applyBorder="1" applyFont="1" applyNumberFormat="1"/>
    <xf borderId="4" fillId="7" fontId="34" numFmtId="165" xfId="0" applyBorder="1" applyFont="1" applyNumberFormat="1"/>
    <xf borderId="4" fillId="7" fontId="14" numFmtId="164" xfId="0" applyBorder="1" applyFont="1" applyNumberFormat="1"/>
    <xf borderId="4" fillId="7" fontId="33" numFmtId="165" xfId="0" applyBorder="1" applyFont="1" applyNumberFormat="1"/>
    <xf borderId="4" fillId="26" fontId="14" numFmtId="43" xfId="0" applyBorder="1" applyFill="1" applyFont="1" applyNumberFormat="1"/>
    <xf borderId="4" fillId="27" fontId="14" numFmtId="43" xfId="0" applyBorder="1" applyFill="1" applyFont="1" applyNumberFormat="1"/>
    <xf borderId="4" fillId="28" fontId="14" numFmtId="43" xfId="0" applyBorder="1" applyFill="1" applyFont="1" applyNumberFormat="1"/>
    <xf borderId="4" fillId="11" fontId="14" numFmtId="0" xfId="0" applyBorder="1" applyFont="1"/>
    <xf borderId="6" fillId="25" fontId="13" numFmtId="0" xfId="0" applyAlignment="1" applyBorder="1" applyFont="1">
      <alignment horizontal="left" shrinkToFit="0" vertical="center" wrapText="1"/>
    </xf>
    <xf borderId="55" fillId="11" fontId="15" numFmtId="0" xfId="0" applyAlignment="1" applyBorder="1" applyFont="1">
      <alignment horizontal="center" vertical="center"/>
    </xf>
    <xf borderId="56" fillId="0" fontId="9" numFmtId="0" xfId="0" applyBorder="1" applyFont="1"/>
    <xf borderId="57" fillId="0" fontId="9" numFmtId="0" xfId="0" applyBorder="1" applyFont="1"/>
    <xf borderId="58" fillId="11" fontId="15" numFmtId="43" xfId="0" applyAlignment="1" applyBorder="1" applyFont="1" applyNumberFormat="1">
      <alignment horizontal="center" vertical="center"/>
    </xf>
    <xf borderId="59" fillId="0" fontId="15" numFmtId="43" xfId="0" applyAlignment="1" applyBorder="1" applyFont="1" applyNumberFormat="1">
      <alignment horizontal="center" shrinkToFit="0" vertical="center" wrapText="1"/>
    </xf>
    <xf borderId="60" fillId="0" fontId="13" numFmtId="49" xfId="0" applyAlignment="1" applyBorder="1" applyFont="1" applyNumberFormat="1">
      <alignment horizontal="center" vertical="center"/>
    </xf>
    <xf borderId="61" fillId="0" fontId="6" numFmtId="43" xfId="0" applyBorder="1" applyFont="1" applyNumberFormat="1"/>
    <xf borderId="4" fillId="11" fontId="6" numFmtId="43" xfId="0" applyBorder="1" applyFont="1" applyNumberFormat="1"/>
    <xf borderId="4" fillId="11" fontId="37" numFmtId="43" xfId="0" applyBorder="1" applyFont="1" applyNumberFormat="1"/>
    <xf borderId="4" fillId="7" fontId="15" numFmtId="0" xfId="0" applyAlignment="1" applyBorder="1" applyFont="1">
      <alignment horizontal="center" vertical="center"/>
    </xf>
    <xf borderId="4" fillId="7" fontId="38" numFmtId="43" xfId="0" applyAlignment="1" applyBorder="1" applyFont="1" applyNumberFormat="1">
      <alignment horizontal="center" shrinkToFit="0" vertical="center" wrapText="1"/>
    </xf>
    <xf borderId="4" fillId="7" fontId="15" numFmtId="43" xfId="0" applyAlignment="1" applyBorder="1" applyFont="1" applyNumberFormat="1">
      <alignment horizontal="center" vertical="center"/>
    </xf>
    <xf borderId="0" fillId="0" fontId="13" numFmtId="43" xfId="0" applyAlignment="1" applyFont="1" applyNumberFormat="1">
      <alignment horizontal="center" shrinkToFit="0" vertical="center" wrapText="1"/>
    </xf>
    <xf borderId="0" fillId="0" fontId="13" numFmtId="49" xfId="0" applyAlignment="1" applyFont="1" applyNumberFormat="1">
      <alignment horizontal="center" vertical="center"/>
    </xf>
    <xf borderId="4" fillId="29" fontId="39" numFmtId="43" xfId="0" applyBorder="1" applyFill="1" applyFont="1" applyNumberFormat="1"/>
    <xf borderId="62" fillId="0" fontId="13" numFmtId="3" xfId="0" applyAlignment="1" applyBorder="1" applyFont="1" applyNumberFormat="1">
      <alignment horizontal="center" vertical="center"/>
    </xf>
    <xf borderId="62" fillId="0" fontId="13" numFmtId="0" xfId="0" applyAlignment="1" applyBorder="1" applyFont="1">
      <alignment horizontal="center" vertical="center"/>
    </xf>
    <xf borderId="63" fillId="0" fontId="13" numFmtId="0" xfId="0" applyAlignment="1" applyBorder="1" applyFont="1">
      <alignment horizontal="center" vertical="center"/>
    </xf>
    <xf borderId="64" fillId="0" fontId="13" numFmtId="3" xfId="0" applyAlignment="1" applyBorder="1" applyFont="1" applyNumberFormat="1">
      <alignment horizontal="center" vertical="center"/>
    </xf>
    <xf borderId="63" fillId="0" fontId="13" numFmtId="0" xfId="0" applyAlignment="1" applyBorder="1" applyFont="1">
      <alignment horizontal="left" shrinkToFit="0" vertical="center" wrapText="1"/>
    </xf>
    <xf borderId="64" fillId="0" fontId="38" numFmtId="43" xfId="0" applyAlignment="1" applyBorder="1" applyFont="1" applyNumberFormat="1">
      <alignment horizontal="center" shrinkToFit="0" vertical="center" wrapText="1"/>
    </xf>
    <xf borderId="63" fillId="0" fontId="13" numFmtId="43" xfId="0" applyAlignment="1" applyBorder="1" applyFont="1" applyNumberFormat="1">
      <alignment horizontal="center" vertical="center"/>
    </xf>
    <xf borderId="63" fillId="0" fontId="13" numFmtId="43" xfId="0" applyAlignment="1" applyBorder="1" applyFont="1" applyNumberFormat="1">
      <alignment horizontal="center" shrinkToFit="0" vertical="center" wrapText="1"/>
    </xf>
    <xf borderId="65" fillId="0" fontId="13" numFmtId="49" xfId="0" applyAlignment="1" applyBorder="1" applyFont="1" applyNumberFormat="1">
      <alignment horizontal="center" vertical="center"/>
    </xf>
    <xf borderId="66" fillId="0" fontId="13" numFmtId="3" xfId="0" applyAlignment="1" applyBorder="1" applyFont="1" applyNumberFormat="1">
      <alignment horizontal="center" vertical="center"/>
    </xf>
    <xf borderId="66" fillId="0" fontId="13" numFmtId="0" xfId="0" applyAlignment="1" applyBorder="1" applyFont="1">
      <alignment horizontal="center" vertical="center"/>
    </xf>
    <xf borderId="67" fillId="0" fontId="13" numFmtId="0" xfId="0" applyAlignment="1" applyBorder="1" applyFont="1">
      <alignment horizontal="center" vertical="center"/>
    </xf>
    <xf borderId="50" fillId="0" fontId="17" numFmtId="3" xfId="0" applyAlignment="1" applyBorder="1" applyFont="1" applyNumberFormat="1">
      <alignment horizontal="center" vertical="center"/>
    </xf>
    <xf borderId="67" fillId="0" fontId="13" numFmtId="0" xfId="0" applyAlignment="1" applyBorder="1" applyFont="1">
      <alignment horizontal="left" shrinkToFit="0" vertical="center" wrapText="1"/>
    </xf>
    <xf borderId="50" fillId="2" fontId="15" numFmtId="164" xfId="0" applyAlignment="1" applyBorder="1" applyFont="1" applyNumberFormat="1">
      <alignment horizontal="center" shrinkToFit="0" vertical="center" wrapText="1"/>
    </xf>
    <xf borderId="67" fillId="0" fontId="13" numFmtId="43" xfId="0" applyAlignment="1" applyBorder="1" applyFont="1" applyNumberFormat="1">
      <alignment horizontal="center" vertical="center"/>
    </xf>
    <xf borderId="67" fillId="0" fontId="13" numFmtId="43" xfId="0" applyAlignment="1" applyBorder="1" applyFont="1" applyNumberFormat="1">
      <alignment horizontal="center" shrinkToFit="0" vertical="center" wrapText="1"/>
    </xf>
    <xf borderId="68" fillId="0" fontId="13" numFmtId="49" xfId="0" applyAlignment="1" applyBorder="1" applyFont="1" applyNumberFormat="1">
      <alignment horizontal="center" vertical="center"/>
    </xf>
    <xf borderId="50" fillId="0" fontId="15" numFmtId="43" xfId="0" applyAlignment="1" applyBorder="1" applyFont="1" applyNumberFormat="1">
      <alignment horizontal="center" shrinkToFit="0" vertical="center" wrapText="1"/>
    </xf>
    <xf borderId="67" fillId="7" fontId="13" numFmtId="0" xfId="0" applyAlignment="1" applyBorder="1" applyFont="1">
      <alignment horizontal="left" shrinkToFit="0" vertical="center" wrapText="1"/>
    </xf>
    <xf borderId="50" fillId="0" fontId="38" numFmtId="43" xfId="0" applyAlignment="1" applyBorder="1" applyFont="1" applyNumberFormat="1">
      <alignment horizontal="center" shrinkToFit="0" vertical="center" wrapText="1"/>
    </xf>
    <xf borderId="69" fillId="0" fontId="13" numFmtId="3" xfId="0" applyAlignment="1" applyBorder="1" applyFont="1" applyNumberFormat="1">
      <alignment horizontal="center" vertical="center"/>
    </xf>
    <xf borderId="69" fillId="0" fontId="13" numFmtId="0" xfId="0" applyAlignment="1" applyBorder="1" applyFont="1">
      <alignment horizontal="center" vertical="center"/>
    </xf>
    <xf borderId="48" fillId="0" fontId="13" numFmtId="0" xfId="0" applyAlignment="1" applyBorder="1" applyFont="1">
      <alignment horizontal="center" vertical="center"/>
    </xf>
    <xf borderId="70" fillId="0" fontId="17" numFmtId="0" xfId="0" applyAlignment="1" applyBorder="1" applyFont="1">
      <alignment horizontal="center" vertical="center"/>
    </xf>
    <xf borderId="48" fillId="0" fontId="13" numFmtId="0" xfId="0" applyAlignment="1" applyBorder="1" applyFont="1">
      <alignment horizontal="left" shrinkToFit="0" vertical="center" wrapText="1"/>
    </xf>
    <xf borderId="70" fillId="0" fontId="15" numFmtId="43" xfId="0" applyAlignment="1" applyBorder="1" applyFont="1" applyNumberFormat="1">
      <alignment horizontal="center" shrinkToFit="0" vertical="center" wrapText="1"/>
    </xf>
    <xf borderId="48" fillId="0" fontId="13" numFmtId="43" xfId="0" applyAlignment="1" applyBorder="1" applyFont="1" applyNumberFormat="1">
      <alignment horizontal="center" vertical="center"/>
    </xf>
    <xf borderId="48" fillId="0" fontId="13" numFmtId="43" xfId="0" applyAlignment="1" applyBorder="1" applyFont="1" applyNumberFormat="1">
      <alignment horizontal="center" shrinkToFit="0" vertical="center" wrapText="1"/>
    </xf>
    <xf borderId="71" fillId="0" fontId="13" numFmtId="49" xfId="0" applyAlignment="1" applyBorder="1" applyFont="1" applyNumberFormat="1">
      <alignment horizontal="center" vertical="center"/>
    </xf>
    <xf borderId="0" fillId="0" fontId="40" numFmtId="0" xfId="0" applyFont="1"/>
    <xf borderId="0" fillId="0" fontId="11" numFmtId="0" xfId="0" applyAlignment="1" applyFont="1">
      <alignment shrinkToFit="0" wrapText="1"/>
    </xf>
    <xf borderId="0" fillId="0" fontId="11" numFmtId="0" xfId="0" applyFont="1"/>
    <xf borderId="0" fillId="0" fontId="15" numFmtId="43" xfId="0" applyAlignment="1" applyFont="1" applyNumberFormat="1">
      <alignment shrinkToFit="0" wrapText="1"/>
    </xf>
    <xf borderId="0" fillId="0" fontId="13" numFmtId="49" xfId="0" applyFont="1" applyNumberFormat="1"/>
    <xf borderId="72" fillId="30" fontId="31" numFmtId="0" xfId="0" applyAlignment="1" applyBorder="1" applyFill="1" applyFont="1">
      <alignment horizontal="center"/>
    </xf>
    <xf borderId="73" fillId="0" fontId="9" numFmtId="0" xfId="0" applyBorder="1" applyFont="1"/>
    <xf borderId="62" fillId="0" fontId="13" numFmtId="0" xfId="0" applyAlignment="1" applyBorder="1" applyFont="1">
      <alignment shrinkToFit="0" vertical="top" wrapText="1"/>
    </xf>
    <xf borderId="24" fillId="0" fontId="26" numFmtId="0" xfId="0" applyAlignment="1" applyBorder="1" applyFont="1">
      <alignment horizontal="center" shrinkToFit="0" vertical="center" wrapText="1"/>
    </xf>
    <xf borderId="25" fillId="0" fontId="26" numFmtId="0" xfId="0" applyAlignment="1" applyBorder="1" applyFont="1">
      <alignment shrinkToFit="0" vertical="top" wrapText="1"/>
    </xf>
    <xf borderId="25" fillId="0" fontId="13" numFmtId="3" xfId="0" applyAlignment="1" applyBorder="1" applyFont="1" applyNumberFormat="1">
      <alignment horizontal="center" shrinkToFit="0" vertical="center" wrapText="1"/>
    </xf>
    <xf borderId="25" fillId="0" fontId="13" numFmtId="0" xfId="0" applyAlignment="1" applyBorder="1" applyFont="1">
      <alignment shrinkToFit="0" vertical="center" wrapText="1"/>
    </xf>
    <xf borderId="25" fillId="2" fontId="13" numFmtId="164" xfId="0" applyAlignment="1" applyBorder="1" applyFont="1" applyNumberFormat="1">
      <alignment shrinkToFit="0" vertical="top" wrapText="1"/>
    </xf>
    <xf borderId="25" fillId="0" fontId="13" numFmtId="0" xfId="0" applyAlignment="1" applyBorder="1" applyFont="1">
      <alignment shrinkToFit="0" vertical="top" wrapText="1"/>
    </xf>
    <xf borderId="25" fillId="7" fontId="41" numFmtId="0" xfId="0" applyAlignment="1" applyBorder="1" applyFont="1">
      <alignment shrinkToFit="0" vertical="top" wrapText="1"/>
    </xf>
    <xf borderId="26" fillId="0" fontId="6" numFmtId="43" xfId="0" applyBorder="1" applyFont="1" applyNumberFormat="1"/>
    <xf borderId="74" fillId="0" fontId="13" numFmtId="0" xfId="0" applyAlignment="1" applyBorder="1" applyFont="1">
      <alignment shrinkToFit="0" vertical="top" wrapText="1"/>
    </xf>
    <xf borderId="36" fillId="2" fontId="13" numFmtId="164" xfId="0" applyAlignment="1" applyBorder="1" applyFont="1" applyNumberFormat="1">
      <alignment shrinkToFit="0" vertical="top" wrapText="1"/>
    </xf>
    <xf borderId="38" fillId="0" fontId="13" numFmtId="0" xfId="0" applyAlignment="1" applyBorder="1" applyFont="1">
      <alignment shrinkToFit="0" vertical="top" wrapText="1"/>
    </xf>
    <xf borderId="36" fillId="7" fontId="41" numFmtId="0" xfId="0" applyAlignment="1" applyBorder="1" applyFont="1">
      <alignment shrinkToFit="0" vertical="top" wrapText="1"/>
    </xf>
    <xf borderId="39" fillId="0" fontId="6" numFmtId="43" xfId="0" applyBorder="1" applyFont="1" applyNumberFormat="1"/>
    <xf borderId="66" fillId="0" fontId="13" numFmtId="0" xfId="0" applyAlignment="1" applyBorder="1" applyFont="1">
      <alignment shrinkToFit="0" vertical="top" wrapText="1"/>
    </xf>
    <xf borderId="27" fillId="0" fontId="26" numFmtId="0" xfId="0" applyAlignment="1" applyBorder="1" applyFont="1">
      <alignment horizontal="center" shrinkToFit="0" vertical="center" wrapText="1"/>
    </xf>
    <xf borderId="6" fillId="0" fontId="26" numFmtId="0" xfId="0" applyAlignment="1" applyBorder="1" applyFont="1">
      <alignment shrinkToFit="0" vertical="top" wrapText="1"/>
    </xf>
    <xf borderId="6" fillId="0" fontId="13" numFmtId="3" xfId="0" applyAlignment="1" applyBorder="1" applyFont="1" applyNumberFormat="1">
      <alignment horizontal="center" shrinkToFit="0" vertical="center" wrapText="1"/>
    </xf>
    <xf borderId="6" fillId="2" fontId="13" numFmtId="164" xfId="0" applyAlignment="1" applyBorder="1" applyFont="1" applyNumberFormat="1">
      <alignment shrinkToFit="0" vertical="top" wrapText="1"/>
    </xf>
    <xf borderId="6" fillId="0" fontId="13" numFmtId="0" xfId="0" applyAlignment="1" applyBorder="1" applyFont="1">
      <alignment shrinkToFit="0" vertical="top" wrapText="1"/>
    </xf>
    <xf borderId="6" fillId="7" fontId="41" numFmtId="0" xfId="0" applyAlignment="1" applyBorder="1" applyFont="1">
      <alignment shrinkToFit="0" vertical="top" wrapText="1"/>
    </xf>
    <xf borderId="6" fillId="11" fontId="13" numFmtId="3" xfId="0" applyAlignment="1" applyBorder="1" applyFont="1" applyNumberFormat="1">
      <alignment horizontal="center" shrinkToFit="0" vertical="center" wrapText="1"/>
    </xf>
    <xf borderId="6" fillId="11" fontId="13" numFmtId="0" xfId="0" applyAlignment="1" applyBorder="1" applyFont="1">
      <alignment shrinkToFit="0" vertical="center" wrapText="1"/>
    </xf>
    <xf borderId="6" fillId="2" fontId="20" numFmtId="164" xfId="0" applyAlignment="1" applyBorder="1" applyFont="1" applyNumberFormat="1">
      <alignment horizontal="center" shrinkToFit="0" vertical="center" wrapText="1"/>
    </xf>
    <xf borderId="27" fillId="0" fontId="13" numFmtId="0" xfId="0" applyAlignment="1" applyBorder="1" applyFont="1">
      <alignment horizontal="center" shrinkToFit="0" vertical="center" wrapText="1"/>
    </xf>
    <xf borderId="6" fillId="0" fontId="13" numFmtId="0" xfId="0" applyBorder="1" applyFont="1"/>
    <xf borderId="6" fillId="2" fontId="13" numFmtId="164" xfId="0" applyAlignment="1" applyBorder="1" applyFont="1" applyNumberFormat="1">
      <alignment shrinkToFit="0" wrapText="1"/>
    </xf>
    <xf borderId="6" fillId="0" fontId="13" numFmtId="0" xfId="0" applyAlignment="1" applyBorder="1" applyFont="1">
      <alignment shrinkToFit="0" wrapText="1"/>
    </xf>
    <xf borderId="27" fillId="0" fontId="13" numFmtId="0" xfId="0" applyAlignment="1" applyBorder="1" applyFont="1">
      <alignment horizontal="center" vertical="center"/>
    </xf>
    <xf borderId="75" fillId="0" fontId="13" numFmtId="0" xfId="0" applyAlignment="1" applyBorder="1" applyFont="1">
      <alignment shrinkToFit="0" vertical="top" wrapText="1"/>
    </xf>
    <xf borderId="69" fillId="0" fontId="13" numFmtId="0" xfId="0" applyAlignment="1" applyBorder="1" applyFont="1">
      <alignment shrinkToFit="0" vertical="top" wrapText="1"/>
    </xf>
    <xf borderId="0" fillId="0" fontId="13" numFmtId="0" xfId="0" applyAlignment="1" applyFont="1">
      <alignment shrinkToFit="0" vertical="top" wrapText="1"/>
    </xf>
    <xf borderId="30" fillId="0" fontId="13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13" numFmtId="3" xfId="0" applyAlignment="1" applyBorder="1" applyFont="1" applyNumberFormat="1">
      <alignment horizontal="center" vertical="center"/>
    </xf>
    <xf borderId="31" fillId="0" fontId="17" numFmtId="0" xfId="0" applyAlignment="1" applyBorder="1" applyFont="1">
      <alignment horizontal="left" shrinkToFit="0" vertical="center" wrapText="1"/>
    </xf>
    <xf borderId="31" fillId="0" fontId="13" numFmtId="43" xfId="0" applyAlignment="1" applyBorder="1" applyFont="1" applyNumberFormat="1">
      <alignment shrinkToFit="0" wrapText="1"/>
    </xf>
    <xf borderId="31" fillId="0" fontId="13" numFmtId="0" xfId="0" applyAlignment="1" applyBorder="1" applyFont="1">
      <alignment shrinkToFit="0" wrapText="1"/>
    </xf>
    <xf borderId="31" fillId="7" fontId="41" numFmtId="0" xfId="0" applyAlignment="1" applyBorder="1" applyFont="1">
      <alignment shrinkToFit="0" vertical="top" wrapText="1"/>
    </xf>
    <xf borderId="34" fillId="0" fontId="6" numFmtId="0" xfId="0" applyBorder="1" applyFont="1"/>
    <xf borderId="36" fillId="31" fontId="15" numFmtId="0" xfId="0" applyAlignment="1" applyBorder="1" applyFill="1" applyFont="1">
      <alignment shrinkToFit="0" vertical="top" wrapText="1"/>
    </xf>
    <xf borderId="76" fillId="31" fontId="15" numFmtId="0" xfId="0" applyAlignment="1" applyBorder="1" applyFont="1">
      <alignment shrinkToFit="0" vertical="top" wrapText="1"/>
    </xf>
    <xf borderId="77" fillId="31" fontId="15" numFmtId="3" xfId="0" applyAlignment="1" applyBorder="1" applyFont="1" applyNumberFormat="1">
      <alignment shrinkToFit="0" vertical="top" wrapText="1"/>
    </xf>
    <xf borderId="78" fillId="31" fontId="13" numFmtId="0" xfId="0" applyAlignment="1" applyBorder="1" applyFont="1">
      <alignment horizontal="center" shrinkToFit="0" vertical="top" wrapText="1"/>
    </xf>
    <xf borderId="58" fillId="31" fontId="15" numFmtId="43" xfId="0" applyAlignment="1" applyBorder="1" applyFont="1" applyNumberFormat="1">
      <alignment shrinkToFit="0" vertical="top" wrapText="1"/>
    </xf>
    <xf borderId="79" fillId="31" fontId="15" numFmtId="0" xfId="0" applyAlignment="1" applyBorder="1" applyFont="1">
      <alignment shrinkToFit="0" vertical="top" wrapText="1"/>
    </xf>
    <xf borderId="58" fillId="7" fontId="41" numFmtId="0" xfId="0" applyAlignment="1" applyBorder="1" applyFont="1">
      <alignment shrinkToFit="0" vertical="top" wrapText="1"/>
    </xf>
    <xf borderId="80" fillId="0" fontId="6" numFmtId="0" xfId="0" applyBorder="1" applyFont="1"/>
    <xf borderId="4" fillId="32" fontId="15" numFmtId="0" xfId="0" applyAlignment="1" applyBorder="1" applyFill="1" applyFont="1">
      <alignment shrinkToFit="0" vertical="top" wrapText="1"/>
    </xf>
    <xf borderId="4" fillId="32" fontId="15" numFmtId="0" xfId="0" applyAlignment="1" applyBorder="1" applyFont="1">
      <alignment horizontal="center" shrinkToFit="0" vertical="top" wrapText="1"/>
    </xf>
    <xf borderId="4" fillId="32" fontId="41" numFmtId="0" xfId="0" applyAlignment="1" applyBorder="1" applyFont="1">
      <alignment shrinkToFit="0" vertical="top" wrapText="1"/>
    </xf>
    <xf borderId="4" fillId="33" fontId="42" numFmtId="0" xfId="0" applyBorder="1" applyFill="1" applyFont="1"/>
    <xf borderId="4" fillId="33" fontId="6" numFmtId="0" xfId="0" applyBorder="1" applyFont="1"/>
    <xf borderId="0" fillId="0" fontId="28" numFmtId="43" xfId="0" applyFont="1" applyNumberFormat="1"/>
    <xf borderId="4" fillId="7" fontId="42" numFmtId="0" xfId="0" applyBorder="1" applyFont="1"/>
    <xf borderId="0" fillId="0" fontId="43" numFmtId="43" xfId="0" applyFont="1" applyNumberFormat="1"/>
    <xf borderId="4" fillId="34" fontId="31" numFmtId="0" xfId="0" applyBorder="1" applyFill="1" applyFont="1"/>
    <xf borderId="4" fillId="34" fontId="6" numFmtId="0" xfId="0" applyBorder="1" applyFont="1"/>
    <xf borderId="4" fillId="7" fontId="31" numFmtId="0" xfId="0" applyBorder="1" applyFont="1"/>
    <xf borderId="4" fillId="7" fontId="43" numFmtId="0" xfId="0" applyBorder="1" applyFont="1"/>
    <xf borderId="35" fillId="7" fontId="15" numFmtId="0" xfId="0" applyAlignment="1" applyBorder="1" applyFont="1">
      <alignment shrinkToFit="0" vertical="top" wrapText="1"/>
    </xf>
    <xf borderId="36" fillId="7" fontId="15" numFmtId="0" xfId="0" applyAlignment="1" applyBorder="1" applyFont="1">
      <alignment shrinkToFit="0" vertical="top" wrapText="1"/>
    </xf>
    <xf borderId="76" fillId="7" fontId="15" numFmtId="0" xfId="0" applyAlignment="1" applyBorder="1" applyFont="1">
      <alignment shrinkToFit="0" vertical="top" wrapText="1"/>
    </xf>
    <xf borderId="6" fillId="2" fontId="13" numFmtId="164" xfId="0" applyAlignment="1" applyBorder="1" applyFont="1" applyNumberFormat="1">
      <alignment horizontal="left" shrinkToFit="0" vertical="top" wrapText="1"/>
    </xf>
    <xf borderId="81" fillId="7" fontId="15" numFmtId="0" xfId="0" applyAlignment="1" applyBorder="1" applyFont="1">
      <alignment shrinkToFit="0" vertical="top" wrapText="1"/>
    </xf>
    <xf borderId="27" fillId="0" fontId="13" numFmtId="0" xfId="0" applyAlignment="1" applyBorder="1" applyFont="1">
      <alignment shrinkToFit="0" vertical="top" wrapText="1"/>
    </xf>
    <xf borderId="6" fillId="0" fontId="15" numFmtId="0" xfId="0" applyAlignment="1" applyBorder="1" applyFont="1">
      <alignment shrinkToFit="0" vertical="top" wrapText="1"/>
    </xf>
    <xf borderId="49" fillId="0" fontId="13" numFmtId="0" xfId="0" applyAlignment="1" applyBorder="1" applyFont="1">
      <alignment horizontal="left" shrinkToFit="0" vertical="top" wrapText="1"/>
    </xf>
    <xf borderId="28" fillId="0" fontId="13" numFmtId="0" xfId="0" applyAlignment="1" applyBorder="1" applyFont="1">
      <alignment shrinkToFit="0" vertical="top" wrapText="1"/>
    </xf>
    <xf borderId="6" fillId="7" fontId="13" numFmtId="43" xfId="0" applyAlignment="1" applyBorder="1" applyFont="1" applyNumberFormat="1">
      <alignment horizontal="left" shrinkToFit="0" vertical="top" wrapText="1"/>
    </xf>
    <xf borderId="30" fillId="0" fontId="15" numFmtId="0" xfId="0" applyAlignment="1" applyBorder="1" applyFont="1">
      <alignment shrinkToFit="0" vertical="top" wrapText="1"/>
    </xf>
    <xf borderId="31" fillId="0" fontId="15" numFmtId="0" xfId="0" applyAlignment="1" applyBorder="1" applyFont="1">
      <alignment shrinkToFit="0" vertical="top" wrapText="1"/>
    </xf>
    <xf borderId="32" fillId="0" fontId="15" numFmtId="0" xfId="0" applyAlignment="1" applyBorder="1" applyFont="1">
      <alignment horizontal="left" shrinkToFit="0" vertical="top" wrapText="1"/>
    </xf>
    <xf borderId="33" fillId="0" fontId="15" numFmtId="0" xfId="0" applyAlignment="1" applyBorder="1" applyFont="1">
      <alignment shrinkToFit="0" vertical="top" wrapText="1"/>
    </xf>
    <xf borderId="31" fillId="0" fontId="15" numFmtId="43" xfId="0" applyAlignment="1" applyBorder="1" applyFont="1" applyNumberFormat="1">
      <alignment horizontal="left" shrinkToFit="0" vertical="top" wrapText="1"/>
    </xf>
    <xf borderId="34" fillId="0" fontId="15" numFmtId="0" xfId="0" applyAlignment="1" applyBorder="1" applyFont="1">
      <alignment shrinkToFit="0" vertical="top" wrapText="1"/>
    </xf>
    <xf borderId="0" fillId="0" fontId="15" numFmtId="0" xfId="0" applyAlignment="1" applyFont="1">
      <alignment shrinkToFit="0" vertical="top" wrapText="1"/>
    </xf>
    <xf borderId="0" fillId="0" fontId="15" numFmtId="0" xfId="0" applyAlignment="1" applyFont="1">
      <alignment horizontal="left" shrinkToFit="0" vertical="top" wrapText="1"/>
    </xf>
    <xf borderId="4" fillId="7" fontId="44" numFmtId="43" xfId="0" applyBorder="1" applyFont="1" applyNumberFormat="1"/>
    <xf borderId="4" fillId="7" fontId="28" numFmtId="43" xfId="0" applyBorder="1" applyFont="1" applyNumberFormat="1"/>
    <xf borderId="0" fillId="0" fontId="45" numFmtId="0" xfId="0" applyAlignment="1" applyFont="1">
      <alignment horizontal="left"/>
    </xf>
    <xf borderId="4" fillId="7" fontId="7" numFmtId="43" xfId="0" applyBorder="1" applyFont="1" applyNumberFormat="1"/>
    <xf borderId="4" fillId="7" fontId="17" numFmtId="43" xfId="0" applyBorder="1" applyFont="1" applyNumberFormat="1"/>
    <xf borderId="0" fillId="0" fontId="13" numFmtId="43" xfId="0" applyFont="1" applyNumberFormat="1"/>
    <xf borderId="0" fillId="0" fontId="13" numFmtId="0" xfId="0" applyFont="1"/>
    <xf borderId="5" fillId="6" fontId="46" numFmtId="43" xfId="0" applyAlignment="1" applyBorder="1" applyFont="1" applyNumberFormat="1">
      <alignment horizontal="center" shrinkToFit="0" vertical="center" wrapText="1"/>
    </xf>
    <xf borderId="6" fillId="0" fontId="13" numFmtId="3" xfId="0" applyAlignment="1" applyBorder="1" applyFont="1" applyNumberFormat="1">
      <alignment shrinkToFit="0" vertical="top" wrapText="1"/>
    </xf>
    <xf borderId="49" fillId="0" fontId="13" numFmtId="3" xfId="0" applyAlignment="1" applyBorder="1" applyFont="1" applyNumberFormat="1">
      <alignment shrinkToFit="0" vertical="top" wrapText="1"/>
    </xf>
    <xf borderId="49" fillId="0" fontId="13" numFmtId="0" xfId="0" applyAlignment="1" applyBorder="1" applyFont="1">
      <alignment horizontal="center" shrinkToFit="0" vertical="top" wrapText="1"/>
    </xf>
    <xf borderId="28" fillId="0" fontId="15" numFmtId="0" xfId="0" applyAlignment="1" applyBorder="1" applyFont="1">
      <alignment shrinkToFit="0" vertical="top" wrapText="1"/>
    </xf>
    <xf borderId="49" fillId="0" fontId="13" numFmtId="0" xfId="0" applyAlignment="1" applyBorder="1" applyFont="1">
      <alignment shrinkToFit="0" vertical="top" wrapText="1"/>
    </xf>
    <xf borderId="28" fillId="0" fontId="13" numFmtId="0" xfId="0" applyBorder="1" applyFont="1"/>
    <xf borderId="30" fillId="0" fontId="13" numFmtId="0" xfId="0" applyAlignment="1" applyBorder="1" applyFont="1">
      <alignment shrinkToFit="0" vertical="top" wrapText="1"/>
    </xf>
    <xf borderId="31" fillId="0" fontId="13" numFmtId="0" xfId="0" applyAlignment="1" applyBorder="1" applyFont="1">
      <alignment shrinkToFit="0" vertical="top" wrapText="1"/>
    </xf>
    <xf borderId="32" fillId="0" fontId="13" numFmtId="0" xfId="0" applyAlignment="1" applyBorder="1" applyFont="1">
      <alignment shrinkToFit="0" vertical="top" wrapText="1"/>
    </xf>
    <xf borderId="32" fillId="0" fontId="13" numFmtId="165" xfId="0" applyAlignment="1" applyBorder="1" applyFont="1" applyNumberFormat="1">
      <alignment horizontal="center" shrinkToFit="0" vertical="top" wrapText="1"/>
    </xf>
    <xf borderId="70" fillId="0" fontId="9" numFmtId="0" xfId="0" applyBorder="1" applyFont="1"/>
    <xf borderId="34" fillId="0" fontId="13" numFmtId="0" xfId="0" applyBorder="1" applyFont="1"/>
    <xf borderId="0" fillId="0" fontId="13" numFmtId="0" xfId="0" applyAlignment="1" applyFont="1">
      <alignment horizontal="center" shrinkToFit="0" vertical="top" wrapText="1"/>
    </xf>
    <xf borderId="0" fillId="0" fontId="13" numFmtId="165" xfId="0" applyFont="1" applyNumberFormat="1"/>
    <xf borderId="51" fillId="0" fontId="13" numFmtId="0" xfId="0" applyAlignment="1" applyBorder="1" applyFont="1">
      <alignment shrinkToFit="0" vertical="top" wrapText="1"/>
    </xf>
    <xf borderId="31" fillId="27" fontId="15" numFmtId="3" xfId="0" applyAlignment="1" applyBorder="1" applyFont="1" applyNumberFormat="1">
      <alignment horizontal="center" shrinkToFit="0" vertical="top" wrapText="1"/>
    </xf>
    <xf borderId="33" fillId="0" fontId="13" numFmtId="0" xfId="0" applyAlignment="1" applyBorder="1" applyFont="1">
      <alignment shrinkToFit="0" vertical="top" wrapText="1"/>
    </xf>
    <xf borderId="0" fillId="0" fontId="13" numFmtId="0" xfId="0" applyAlignment="1" applyFont="1">
      <alignment horizontal="left" shrinkToFit="0" vertical="top" wrapText="1"/>
    </xf>
    <xf borderId="49" fillId="0" fontId="15" numFmtId="0" xfId="0" applyAlignment="1" applyBorder="1" applyFont="1">
      <alignment shrinkToFit="0" vertical="top" wrapText="1"/>
    </xf>
    <xf borderId="74" fillId="0" fontId="15" numFmtId="0" xfId="0" applyAlignment="1" applyBorder="1" applyFont="1">
      <alignment shrinkToFit="0" vertical="top" wrapText="1"/>
    </xf>
    <xf borderId="74" fillId="0" fontId="13" numFmtId="3" xfId="0" applyAlignment="1" applyBorder="1" applyFont="1" applyNumberFormat="1">
      <alignment shrinkToFit="0" vertical="top" wrapText="1"/>
    </xf>
    <xf borderId="47" fillId="2" fontId="13" numFmtId="164" xfId="0" applyAlignment="1" applyBorder="1" applyFont="1" applyNumberFormat="1">
      <alignment shrinkToFit="0" vertical="top" wrapText="1"/>
    </xf>
    <xf borderId="82" fillId="0" fontId="13" numFmtId="0" xfId="0" applyAlignment="1" applyBorder="1" applyFont="1">
      <alignment shrinkToFit="0" vertical="top" wrapText="1"/>
    </xf>
    <xf borderId="39" fillId="0" fontId="17" numFmtId="0" xfId="0" applyAlignment="1" applyBorder="1" applyFont="1">
      <alignment shrinkToFit="0" vertical="top" wrapText="1"/>
    </xf>
    <xf borderId="69" fillId="0" fontId="15" numFmtId="0" xfId="0" applyAlignment="1" applyBorder="1" applyFont="1">
      <alignment shrinkToFit="0" vertical="top" wrapText="1"/>
    </xf>
    <xf borderId="48" fillId="0" fontId="15" numFmtId="0" xfId="0" applyAlignment="1" applyBorder="1" applyFont="1">
      <alignment shrinkToFit="0" vertical="top" wrapText="1"/>
    </xf>
    <xf borderId="69" fillId="0" fontId="15" numFmtId="3" xfId="0" applyAlignment="1" applyBorder="1" applyFont="1" applyNumberFormat="1">
      <alignment shrinkToFit="0" vertical="top" wrapText="1"/>
    </xf>
    <xf borderId="69" fillId="0" fontId="13" numFmtId="3" xfId="0" applyAlignment="1" applyBorder="1" applyFont="1" applyNumberFormat="1">
      <alignment shrinkToFit="0" vertical="top" wrapText="1"/>
    </xf>
    <xf borderId="48" fillId="0" fontId="13" numFmtId="0" xfId="0" applyAlignment="1" applyBorder="1" applyFont="1">
      <alignment shrinkToFit="0" vertical="top" wrapText="1"/>
    </xf>
    <xf borderId="71" fillId="0" fontId="13" numFmtId="0" xfId="0" applyAlignment="1" applyBorder="1" applyFont="1">
      <alignment shrinkToFit="0" vertical="top" wrapText="1"/>
    </xf>
    <xf borderId="83" fillId="0" fontId="45" numFmtId="0" xfId="0" applyAlignment="1" applyBorder="1" applyFont="1">
      <alignment horizontal="left"/>
    </xf>
    <xf borderId="83" fillId="0" fontId="9" numFmtId="0" xfId="0" applyBorder="1" applyFont="1"/>
    <xf borderId="47" fillId="0" fontId="13" numFmtId="43" xfId="0" applyAlignment="1" applyBorder="1" applyFont="1" applyNumberFormat="1">
      <alignment shrinkToFit="0" vertical="top" wrapText="1"/>
    </xf>
    <xf borderId="68" fillId="0" fontId="13" numFmtId="0" xfId="0" applyAlignment="1" applyBorder="1" applyFont="1">
      <alignment shrinkToFit="0" vertical="top" wrapText="1"/>
    </xf>
    <xf borderId="68" fillId="0" fontId="17" numFmtId="0" xfId="0" applyAlignment="1" applyBorder="1" applyFont="1">
      <alignment shrinkToFit="0" vertical="top" wrapText="1"/>
    </xf>
    <xf borderId="71" fillId="0" fontId="15" numFmtId="0" xfId="0" applyAlignment="1" applyBorder="1" applyFont="1">
      <alignment shrinkToFit="0" vertical="top" wrapText="1"/>
    </xf>
    <xf borderId="16" fillId="7" fontId="13" numFmtId="0" xfId="0" applyAlignment="1" applyBorder="1" applyFont="1">
      <alignment horizontal="center" vertical="top"/>
    </xf>
    <xf borderId="38" fillId="2" fontId="13" numFmtId="164" xfId="0" applyAlignment="1" applyBorder="1" applyFont="1" applyNumberFormat="1">
      <alignment shrinkToFit="0" vertical="top" wrapText="1"/>
    </xf>
    <xf borderId="70" fillId="0" fontId="13" numFmtId="0" xfId="0" applyAlignment="1" applyBorder="1" applyFont="1">
      <alignment shrinkToFit="0" vertical="top" wrapText="1"/>
    </xf>
    <xf borderId="62" fillId="0" fontId="13" numFmtId="3" xfId="0" applyAlignment="1" applyBorder="1" applyFont="1" applyNumberFormat="1">
      <alignment shrinkToFit="0" vertical="top" wrapText="1"/>
    </xf>
    <xf borderId="82" fillId="0" fontId="17" numFmtId="0" xfId="0" applyAlignment="1" applyBorder="1" applyFont="1">
      <alignment shrinkToFit="0" vertical="top" wrapText="1"/>
    </xf>
    <xf borderId="5" fillId="6" fontId="46" numFmtId="0" xfId="0" applyAlignment="1" applyBorder="1" applyFont="1">
      <alignment horizontal="center" shrinkToFit="0" vertical="center" wrapText="1"/>
    </xf>
    <xf borderId="4" fillId="35" fontId="15" numFmtId="4" xfId="0" applyAlignment="1" applyBorder="1" applyFill="1" applyFont="1" applyNumberFormat="1">
      <alignment horizontal="left" shrinkToFit="0" vertical="top" wrapText="1"/>
    </xf>
    <xf borderId="4" fillId="36" fontId="14" numFmtId="43" xfId="0" applyAlignment="1" applyBorder="1" applyFill="1" applyFont="1" applyNumberFormat="1">
      <alignment horizontal="center"/>
    </xf>
    <xf borderId="0" fillId="0" fontId="14" numFmtId="165" xfId="0" applyAlignment="1" applyFont="1" applyNumberFormat="1">
      <alignment horizontal="center"/>
    </xf>
    <xf borderId="0" fillId="0" fontId="6" numFmtId="2" xfId="0" applyAlignment="1" applyFont="1" applyNumberFormat="1">
      <alignment horizontal="left" shrinkToFit="0" vertical="center" wrapText="1"/>
    </xf>
    <xf borderId="1" fillId="7" fontId="14" numFmtId="0" xfId="0" applyAlignment="1" applyBorder="1" applyFont="1">
      <alignment horizontal="center"/>
    </xf>
    <xf borderId="0" fillId="0" fontId="10" numFmtId="165" xfId="0" applyAlignment="1" applyFont="1" applyNumberFormat="1">
      <alignment horizontal="right"/>
    </xf>
    <xf borderId="4" fillId="22" fontId="14" numFmtId="0" xfId="0" applyBorder="1" applyFont="1"/>
    <xf borderId="4" fillId="22" fontId="14" numFmtId="43" xfId="0" applyBorder="1" applyFont="1" applyNumberFormat="1"/>
    <xf borderId="4" fillId="23" fontId="47" numFmtId="43" xfId="0" applyBorder="1" applyFont="1" applyNumberFormat="1"/>
    <xf borderId="5" fillId="6" fontId="46" numFmtId="4" xfId="0" applyAlignment="1" applyBorder="1" applyFont="1" applyNumberFormat="1">
      <alignment horizontal="center" shrinkToFit="0" vertical="center" wrapText="1"/>
    </xf>
    <xf borderId="0" fillId="0" fontId="34" numFmtId="43" xfId="0" applyFont="1" applyNumberFormat="1"/>
    <xf borderId="4" fillId="7" fontId="33" numFmtId="4" xfId="0" applyAlignment="1" applyBorder="1" applyFont="1" applyNumberFormat="1">
      <alignment horizontal="right" shrinkToFit="0" vertical="center" wrapText="1"/>
    </xf>
    <xf borderId="4" fillId="7" fontId="33" numFmtId="43" xfId="0" applyAlignment="1" applyBorder="1" applyFont="1" applyNumberFormat="1">
      <alignment horizontal="center"/>
    </xf>
    <xf borderId="0" fillId="0" fontId="48" numFmtId="43" xfId="0" applyFont="1" applyNumberFormat="1"/>
    <xf borderId="4" fillId="37" fontId="34" numFmtId="43" xfId="0" applyBorder="1" applyFill="1" applyFont="1" applyNumberFormat="1"/>
    <xf borderId="0" fillId="0" fontId="33" numFmtId="43" xfId="0" applyAlignment="1" applyFont="1" applyNumberFormat="1">
      <alignment horizontal="center"/>
    </xf>
    <xf borderId="0" fillId="0" fontId="33" numFmtId="164" xfId="0" applyFont="1" applyNumberFormat="1"/>
    <xf borderId="0" fillId="0" fontId="48" numFmtId="164" xfId="0" applyFont="1" applyNumberFormat="1"/>
    <xf borderId="4" fillId="7" fontId="34" numFmtId="164" xfId="0" applyBorder="1" applyFont="1" applyNumberFormat="1"/>
    <xf borderId="4" fillId="7" fontId="33" numFmtId="164" xfId="0" applyBorder="1" applyFont="1" applyNumberFormat="1"/>
    <xf borderId="4" fillId="3" fontId="34" numFmtId="43" xfId="0" applyBorder="1" applyFont="1" applyNumberFormat="1"/>
    <xf borderId="4" fillId="25" fontId="34" numFmtId="43" xfId="0" applyBorder="1" applyFont="1" applyNumberFormat="1"/>
    <xf borderId="4" fillId="25" fontId="49" numFmtId="43" xfId="0" applyBorder="1" applyFont="1" applyNumberFormat="1"/>
    <xf borderId="4" fillId="11" fontId="34" numFmtId="43" xfId="0" applyBorder="1" applyFont="1" applyNumberFormat="1"/>
    <xf borderId="4" fillId="9" fontId="34" numFmtId="43" xfId="0" applyBorder="1" applyFont="1" applyNumberFormat="1"/>
    <xf borderId="4" fillId="38" fontId="34" numFmtId="43" xfId="0" applyBorder="1" applyFill="1" applyFont="1" applyNumberFormat="1"/>
    <xf borderId="4" fillId="39" fontId="34" numFmtId="43" xfId="0" applyBorder="1" applyFill="1" applyFont="1" applyNumberFormat="1"/>
    <xf borderId="4" fillId="7" fontId="34" numFmtId="4" xfId="0" applyAlignment="1" applyBorder="1" applyFont="1" applyNumberFormat="1">
      <alignment horizontal="right" shrinkToFit="0" vertical="center" wrapText="1"/>
    </xf>
    <xf borderId="4" fillId="40" fontId="34" numFmtId="43" xfId="0" applyBorder="1" applyFill="1" applyFont="1" applyNumberFormat="1"/>
    <xf borderId="4" fillId="41" fontId="34" numFmtId="43" xfId="0" applyBorder="1" applyFill="1" applyFont="1" applyNumberFormat="1"/>
    <xf borderId="4" fillId="38" fontId="33" numFmtId="43" xfId="0" applyBorder="1" applyFont="1" applyNumberFormat="1"/>
    <xf borderId="4" fillId="7" fontId="50" numFmtId="43" xfId="0" applyBorder="1" applyFont="1" applyNumberFormat="1"/>
    <xf borderId="4" fillId="42" fontId="33" numFmtId="43" xfId="0" applyBorder="1" applyFill="1" applyFont="1" applyNumberFormat="1"/>
    <xf borderId="4" fillId="11" fontId="6" numFmtId="43" xfId="0" applyAlignment="1" applyBorder="1" applyFont="1" applyNumberFormat="1">
      <alignment shrinkToFit="0" wrapText="1"/>
    </xf>
    <xf borderId="4" fillId="22" fontId="6" numFmtId="43" xfId="0" applyBorder="1" applyFont="1" applyNumberFormat="1"/>
    <xf borderId="4" fillId="7" fontId="22" numFmtId="43" xfId="0" applyBorder="1" applyFont="1" applyNumberFormat="1"/>
    <xf borderId="4" fillId="7" fontId="6" numFmtId="164" xfId="0" applyBorder="1" applyFont="1" applyNumberFormat="1"/>
    <xf borderId="0" fillId="0" fontId="34" numFmtId="43" xfId="0" applyAlignment="1" applyFont="1" applyNumberFormat="1">
      <alignment horizontal="center"/>
    </xf>
    <xf borderId="4" fillId="22" fontId="6" numFmtId="164" xfId="0" applyBorder="1" applyFont="1" applyNumberFormat="1"/>
    <xf borderId="4" fillId="22" fontId="34" numFmtId="43" xfId="0" applyBorder="1" applyFont="1" applyNumberFormat="1"/>
    <xf borderId="4" fillId="39" fontId="34" numFmtId="43" xfId="0" applyAlignment="1" applyBorder="1" applyFont="1" applyNumberFormat="1">
      <alignment horizontal="center"/>
    </xf>
    <xf borderId="4" fillId="28" fontId="34" numFmtId="43" xfId="0" applyAlignment="1" applyBorder="1" applyFont="1" applyNumberFormat="1">
      <alignment horizontal="center"/>
    </xf>
    <xf borderId="4" fillId="43" fontId="34" numFmtId="43" xfId="0" applyBorder="1" applyFill="1" applyFont="1" applyNumberFormat="1"/>
    <xf borderId="4" fillId="23" fontId="14" numFmtId="43" xfId="0" applyBorder="1" applyFont="1" applyNumberFormat="1"/>
    <xf borderId="6" fillId="7" fontId="10" numFmtId="43" xfId="0" applyBorder="1" applyFont="1" applyNumberFormat="1"/>
    <xf borderId="4" fillId="42" fontId="14" numFmtId="43" xfId="0" applyAlignment="1" applyBorder="1" applyFont="1" applyNumberFormat="1">
      <alignment shrinkToFit="0" wrapText="1"/>
    </xf>
    <xf borderId="4" fillId="44" fontId="50" numFmtId="43" xfId="0" applyBorder="1" applyFill="1" applyFont="1" applyNumberFormat="1"/>
    <xf borderId="4" fillId="42" fontId="6" numFmtId="43" xfId="0" applyBorder="1" applyFont="1" applyNumberFormat="1"/>
    <xf borderId="4" fillId="44" fontId="51" numFmtId="43" xfId="0" applyBorder="1" applyFont="1" applyNumberFormat="1"/>
    <xf borderId="4" fillId="42" fontId="6" numFmtId="164" xfId="0" applyBorder="1" applyFont="1" applyNumberFormat="1"/>
    <xf borderId="4" fillId="42" fontId="14" numFmtId="43" xfId="0" applyBorder="1" applyFont="1" applyNumberFormat="1"/>
    <xf borderId="0" fillId="0" fontId="22" numFmtId="164" xfId="0" applyFont="1" applyNumberFormat="1"/>
    <xf borderId="0" fillId="0" fontId="6" numFmtId="164" xfId="0" applyFont="1" applyNumberFormat="1"/>
    <xf borderId="4" fillId="11" fontId="6" numFmtId="164" xfId="0" applyBorder="1" applyFont="1" applyNumberFormat="1"/>
    <xf borderId="4" fillId="45" fontId="6" numFmtId="43" xfId="0" applyBorder="1" applyFill="1" applyFont="1" applyNumberFormat="1"/>
    <xf borderId="4" fillId="38" fontId="6" numFmtId="164" xfId="0" applyBorder="1" applyFont="1" applyNumberFormat="1"/>
    <xf borderId="4" fillId="7" fontId="52" numFmtId="43" xfId="0" applyBorder="1" applyFont="1" applyNumberFormat="1"/>
    <xf borderId="4" fillId="7" fontId="5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Líquido por regime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A78D6"/>
              </a:solidFill>
            </c:spPr>
          </c:dPt>
          <c:dPt>
            <c:idx val="1"/>
            <c:spPr>
              <a:solidFill>
                <a:srgbClr val="EDA100"/>
              </a:solidFill>
            </c:spPr>
          </c:dPt>
          <c:dPt>
            <c:idx val="2"/>
            <c:spPr>
              <a:solidFill>
                <a:srgbClr val="1BAF7A"/>
              </a:solidFill>
            </c:spPr>
          </c:dPt>
          <c:dPt>
            <c:idx val="3"/>
            <c:spPr>
              <a:solidFill>
                <a:srgbClr val="EB6834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Dashboard!$T$2:$T$6</c:f>
            </c:strRef>
          </c:cat>
          <c:val>
            <c:numRef>
              <c:f>Dashboard!$U$2:$U$6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0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Composição do valor da folha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A78D6"/>
              </a:solidFill>
            </c:spPr>
          </c:dPt>
          <c:dPt>
            <c:idx val="1"/>
            <c:spPr>
              <a:solidFill>
                <a:srgbClr val="EDA100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Dashboard!$T$9:$T$11</c:f>
            </c:strRef>
          </c:cat>
          <c:val>
            <c:numRef>
              <c:f>Dashboard!$U$9:$U$11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0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Detalhe dos encargos sociais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2A78D6"/>
              </a:solidFill>
            </c:spPr>
          </c:dPt>
          <c:dPt>
            <c:idx val="1"/>
            <c:spPr>
              <a:solidFill>
                <a:srgbClr val="EDA100"/>
              </a:solidFill>
            </c:spPr>
          </c:dPt>
          <c:dPt>
            <c:idx val="2"/>
            <c:spPr>
              <a:solidFill>
                <a:srgbClr val="1BAF7A"/>
              </a:solidFill>
            </c:spPr>
          </c:dPt>
          <c:dPt>
            <c:idx val="3"/>
            <c:spPr>
              <a:solidFill>
                <a:srgbClr val="EB6834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Dashboard!$T$14:$T$18</c:f>
            </c:strRef>
          </c:cat>
          <c:val>
            <c:numRef>
              <c:f>Dashboard!$U$14:$U$18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maiores consignações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cat>
            <c:strRef>
              <c:f>Dashboard!$T$20:$T$30</c:f>
            </c:strRef>
          </c:cat>
          <c:val>
            <c:numRef>
              <c:f>Dashboard!$U$20:$U$30</c:f>
              <c:numCache/>
            </c:numRef>
          </c:val>
        </c:ser>
        <c:axId val="1838305911"/>
        <c:axId val="344028393"/>
      </c:barChart>
      <c:catAx>
        <c:axId val="18383059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4028393"/>
      </c:catAx>
      <c:valAx>
        <c:axId val="344028393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838305911"/>
        <c:crosses val="max"/>
      </c:valAx>
    </c:plotArea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Notas de Empenho - maiores valores de reforço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cat>
            <c:strRef>
              <c:f>Dashboard!$T$34:$T$42</c:f>
            </c:strRef>
          </c:cat>
          <c:val>
            <c:numRef>
              <c:f>Dashboard!$U$34:$U$42</c:f>
              <c:numCache/>
            </c:numRef>
          </c:val>
        </c:ser>
        <c:axId val="1598175596"/>
        <c:axId val="1161916300"/>
      </c:barChart>
      <c:catAx>
        <c:axId val="15981755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1916300"/>
      </c:catAx>
      <c:valAx>
        <c:axId val="1161916300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598175596"/>
        <c:crosses val="max"/>
      </c:valAx>
    </c:plotArea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Líquido x Consignações x IRRF x Encargos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2A78D6"/>
            </a:solidFill>
            <a:ln cmpd="sng">
              <a:noFill/>
            </a:ln>
          </c:spPr>
          <c:cat>
            <c:strRef>
              <c:f>Dashboard!$T$44:$T$48</c:f>
            </c:strRef>
          </c:cat>
          <c:val>
            <c:numRef>
              <c:f>Dashboard!$U$44:$U$48</c:f>
              <c:numCache/>
            </c:numRef>
          </c:val>
        </c:ser>
        <c:axId val="315168012"/>
        <c:axId val="2028384569"/>
      </c:barChart>
      <c:catAx>
        <c:axId val="315168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8384569"/>
      </c:catAx>
      <c:valAx>
        <c:axId val="20283845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5168012"/>
      </c:valAx>
    </c:plotArea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0</xdr:rowOff>
    </xdr:from>
    <xdr:ext cx="4000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7</xdr:row>
      <xdr:rowOff>0</xdr:rowOff>
    </xdr:from>
    <xdr:ext cx="400050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23</xdr:row>
      <xdr:rowOff>0</xdr:rowOff>
    </xdr:from>
    <xdr:ext cx="4000500" cy="28575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0</xdr:colOff>
      <xdr:row>23</xdr:row>
      <xdr:rowOff>0</xdr:rowOff>
    </xdr:from>
    <xdr:ext cx="4000500" cy="28575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0</xdr:colOff>
      <xdr:row>39</xdr:row>
      <xdr:rowOff>0</xdr:rowOff>
    </xdr:from>
    <xdr:ext cx="4000500" cy="28575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0</xdr:colOff>
      <xdr:row>39</xdr:row>
      <xdr:rowOff>0</xdr:rowOff>
    </xdr:from>
    <xdr:ext cx="4000500" cy="285750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80.14"/>
  </cols>
  <sheetData>
    <row r="1">
      <c r="A1" s="1" t="s">
        <v>0</v>
      </c>
      <c r="B1" s="2"/>
    </row>
    <row r="2">
      <c r="A2" s="2"/>
      <c r="B2" s="2"/>
    </row>
    <row r="3">
      <c r="A3" s="3" t="s">
        <v>1</v>
      </c>
      <c r="B3" s="4" t="s">
        <v>2</v>
      </c>
    </row>
    <row r="4">
      <c r="A4" s="5" t="s">
        <v>3</v>
      </c>
      <c r="B4" s="4" t="s">
        <v>4</v>
      </c>
    </row>
    <row r="5">
      <c r="A5" s="5" t="s">
        <v>5</v>
      </c>
      <c r="B5" s="4" t="s">
        <v>6</v>
      </c>
    </row>
    <row r="6">
      <c r="A6" s="5" t="s">
        <v>7</v>
      </c>
      <c r="B6" s="4" t="s">
        <v>8</v>
      </c>
    </row>
    <row r="7">
      <c r="A7" s="2"/>
      <c r="B7" s="2"/>
    </row>
    <row r="8">
      <c r="A8" s="6" t="s">
        <v>9</v>
      </c>
      <c r="B8" s="2"/>
    </row>
    <row r="9">
      <c r="A9" s="2"/>
      <c r="B9" s="4" t="s">
        <v>10</v>
      </c>
    </row>
    <row r="10">
      <c r="A10" s="2"/>
      <c r="B10" s="4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15" width="10.86"/>
  </cols>
  <sheetData>
    <row r="1">
      <c r="A1" s="158" t="s">
        <v>196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T1" s="161" t="s">
        <v>199</v>
      </c>
    </row>
    <row r="2">
      <c r="A2" s="162" t="str">
        <f>'LÍQUIDO FOLHA -1'!A3</f>
        <v>LIQUIDAÇÃO DA FOLHA DE PAGAMENTO DO MÊS DE JULHO DE 2026-1</v>
      </c>
      <c r="T2" s="163" t="s">
        <v>200</v>
      </c>
      <c r="U2" s="163" t="s">
        <v>203</v>
      </c>
    </row>
    <row r="3">
      <c r="T3" s="164" t="str">
        <f>'CONSIGNAÇÕES FOLHA 1'!A3</f>
        <v>LÍQUIDO DOS CONTRATOS</v>
      </c>
      <c r="U3" s="166">
        <f>'CONSIGNAÇÕES FOLHA 1'!D3</f>
        <v>68692.72</v>
      </c>
    </row>
    <row r="4">
      <c r="B4" s="168" t="s">
        <v>207</v>
      </c>
      <c r="E4" s="168" t="s">
        <v>209</v>
      </c>
      <c r="H4" s="168" t="s">
        <v>211</v>
      </c>
      <c r="K4" s="168" t="s">
        <v>212</v>
      </c>
      <c r="N4" s="168" t="s">
        <v>213</v>
      </c>
      <c r="T4" s="164" t="str">
        <f>'CONSIGNAÇÕES FOLHA 1'!A4</f>
        <v>LÍQUIDO VENCIMENTO PESSOAL CIVIL RPPS</v>
      </c>
      <c r="U4" s="166">
        <f>'CONSIGNAÇÕES FOLHA 1'!D4</f>
        <v>128490.03</v>
      </c>
    </row>
    <row r="5" ht="30.0" customHeight="1">
      <c r="B5" s="171">
        <f>'LÍQUIDO FOLHA -1'!F79</f>
        <v>694407.63</v>
      </c>
      <c r="E5" s="172">
        <f>'CONSIGNAÇÕES FOLHA 1'!D7</f>
        <v>471029.4</v>
      </c>
      <c r="H5" s="171" t="str">
        <f>SUM('LÍQUIDO FOLHA -1'!I15,'LÍQUIDO FOLHA -1'!I30,'LÍQUIDO FOLHA -1'!I44,'LÍQUIDO FOLHA -1'!I58)</f>
        <v>#ERROR!</v>
      </c>
      <c r="K5" s="172">
        <f>SUM('CONSIGNAÇÕES FOLHA 1'!F14:J97)</f>
        <v>119657.39</v>
      </c>
      <c r="N5" s="171">
        <f>SUM('LÍQUIDO FOLHA -1'!F68:F76)</f>
        <v>104222.85</v>
      </c>
      <c r="T5" s="164" t="str">
        <f>'CONSIGNAÇÕES FOLHA 1'!A5</f>
        <v>LÍQUIDO DO SUBSÍDIO RGPS</v>
      </c>
      <c r="U5" s="166">
        <f>'CONSIGNAÇÕES FOLHA 1'!D5</f>
        <v>257926.4</v>
      </c>
    </row>
    <row r="6">
      <c r="A6" s="174" t="str">
        <f>"Diferença apurada na aba Reconciliação: " &amp; TEXT('Reconciliacao'!B23,"R$ #,##0.00") &amp; " — confira se esse valor é esperado (ex: RGPS/Militar fora do escopo daquela aba) antes de tratar como erro."</f>
        <v>#ERROR!</v>
      </c>
      <c r="T6" s="164" t="str">
        <f>'CONSIGNAÇÕES FOLHA 1'!A6</f>
        <v>LIQUIDO PESSOAL MILITAR</v>
      </c>
      <c r="U6" s="166">
        <f>'CONSIGNAÇÕES FOLHA 1'!D6</f>
        <v>15920.25</v>
      </c>
    </row>
    <row r="9">
      <c r="T9" s="163" t="s">
        <v>224</v>
      </c>
      <c r="U9" s="163" t="s">
        <v>225</v>
      </c>
    </row>
    <row r="10">
      <c r="T10" s="163" t="s">
        <v>226</v>
      </c>
      <c r="U10" s="176">
        <f>'LÍQUIDO FOLHA -1'!F67</f>
        <v>590184.78</v>
      </c>
    </row>
    <row r="11">
      <c r="T11" s="163" t="s">
        <v>231</v>
      </c>
      <c r="U11" s="176">
        <f>SUM('LÍQUIDO FOLHA -1'!F68:F76)</f>
        <v>104222.85</v>
      </c>
    </row>
    <row r="14">
      <c r="T14" s="163" t="s">
        <v>232</v>
      </c>
      <c r="U14" s="163" t="s">
        <v>225</v>
      </c>
    </row>
    <row r="15">
      <c r="T15" s="164" t="str">
        <f>'LÍQUIDO FOLHA -1'!G68</f>
        <v>FUNDO FINANCEIRO</v>
      </c>
      <c r="U15" s="176">
        <f>'LÍQUIDO FOLHA -1'!F68</f>
        <v>24685.86</v>
      </c>
    </row>
    <row r="16">
      <c r="T16" s="164" t="str">
        <f>'LÍQUIDO FOLHA -1'!G69</f>
        <v>FUNDO PREVIDENCIÁRIO</v>
      </c>
      <c r="U16" s="176">
        <f>'LÍQUIDO FOLHA -1'!F69</f>
        <v>4503.31</v>
      </c>
    </row>
    <row r="17">
      <c r="T17" s="164" t="str">
        <f>'LÍQUIDO FOLHA -1'!G70</f>
        <v>INSS</v>
      </c>
      <c r="U17" s="176">
        <f>'LÍQUIDO FOLHA -1'!F70</f>
        <v>68775.92</v>
      </c>
    </row>
    <row r="18">
      <c r="T18" s="164" t="str">
        <f>'LÍQUIDO FOLHA -1'!G71</f>
        <v>PLANSAUDE</v>
      </c>
      <c r="U18" s="176">
        <f>'LÍQUIDO FOLHA -1'!F71</f>
        <v>6257.76</v>
      </c>
    </row>
    <row r="20">
      <c r="T20" s="163" t="s">
        <v>239</v>
      </c>
      <c r="U20" s="163" t="s">
        <v>240</v>
      </c>
    </row>
    <row r="21">
      <c r="T21" s="164" t="str">
        <f>QUERY({'CONSIGNAÇÕES FOLHA 1'!E14:E97, 'CONSIGNAÇÕES FOLHA 1'!F14:F97+'CONSIGNAÇÕES FOLHA 1'!G14:G97+'CONSIGNAÇÕES FOLHA 1'!H14:H97+'CONSIGNAÇÕES FOLHA 1'!I14:I97+'CONSIGNAÇÕES FOLHA 1'!J14:J97}, "select Col1, Col2 where Col2 &gt; 0 order by Col2 desc limit 10", 0)</f>
        <v>#ERROR!</v>
      </c>
    </row>
    <row r="34">
      <c r="T34" s="163" t="s">
        <v>262</v>
      </c>
      <c r="U34" s="163" t="s">
        <v>265</v>
      </c>
    </row>
    <row r="35">
      <c r="T35" s="164" t="str">
        <f>QUERY({NES!C2:C23, NES!G2:G23}, "select Col1, Col2 where Col2 &gt; 0 order by Col2 desc limit 8", 0)</f>
        <v>#ERROR!</v>
      </c>
    </row>
    <row r="44">
      <c r="T44" s="163" t="s">
        <v>224</v>
      </c>
      <c r="U44" s="163" t="s">
        <v>225</v>
      </c>
    </row>
    <row r="45">
      <c r="T45" s="163" t="s">
        <v>273</v>
      </c>
      <c r="U45" s="166">
        <f>'CONSIGNAÇÕES FOLHA 1'!D7</f>
        <v>471029.4</v>
      </c>
    </row>
    <row r="46">
      <c r="T46" s="163" t="s">
        <v>275</v>
      </c>
      <c r="U46" s="176">
        <f>SUM('CONSIGNAÇÕES FOLHA 1'!F14:J97)</f>
        <v>119657.39</v>
      </c>
    </row>
    <row r="47">
      <c r="T47" s="163" t="s">
        <v>277</v>
      </c>
      <c r="U47" s="164" t="str">
        <f>SUM('LÍQUIDO FOLHA -1'!I15,'LÍQUIDO FOLHA -1'!I30,'LÍQUIDO FOLHA -1'!I44,'LÍQUIDO FOLHA -1'!I58)</f>
        <v>#ERROR!</v>
      </c>
    </row>
    <row r="48">
      <c r="T48" s="163" t="s">
        <v>231</v>
      </c>
      <c r="U48" s="176">
        <f>SUM('LÍQUIDO FOLHA -1'!F68:F76)</f>
        <v>104222.85</v>
      </c>
    </row>
  </sheetData>
  <mergeCells count="13">
    <mergeCell ref="E4:F4"/>
    <mergeCell ref="E5:F5"/>
    <mergeCell ref="K4:L4"/>
    <mergeCell ref="K5:L5"/>
    <mergeCell ref="B5:C5"/>
    <mergeCell ref="A6:H6"/>
    <mergeCell ref="A1:P1"/>
    <mergeCell ref="A2:P2"/>
    <mergeCell ref="B4:C4"/>
    <mergeCell ref="H4:I4"/>
    <mergeCell ref="N4:O4"/>
    <mergeCell ref="H5:I5"/>
    <mergeCell ref="N5:O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 fitToPage="1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0.0"/>
    <col customWidth="1" min="3" max="4" width="18.29"/>
    <col customWidth="1" min="5" max="5" width="15.43"/>
    <col customWidth="1" min="6" max="6" width="33.71"/>
    <col customWidth="1" min="7" max="8" width="16.43"/>
    <col customWidth="1" min="9" max="9" width="14.14"/>
    <col customWidth="1" min="10" max="10" width="15.29"/>
    <col customWidth="1" min="11" max="12" width="13.29"/>
    <col customWidth="1" min="13" max="13" width="11.43"/>
    <col customWidth="1" min="14" max="14" width="13.29"/>
    <col customWidth="1" min="15" max="26" width="8.71"/>
  </cols>
  <sheetData>
    <row r="1" ht="18.0" customHeight="1">
      <c r="A1" s="7" t="s">
        <v>12</v>
      </c>
      <c r="B1" s="8"/>
      <c r="C1" s="8"/>
      <c r="D1" s="8"/>
      <c r="E1" s="9"/>
      <c r="F1" s="10" t="s">
        <v>13</v>
      </c>
      <c r="G1" s="8"/>
      <c r="H1" s="8"/>
      <c r="I1" s="8"/>
      <c r="J1" s="8"/>
      <c r="K1" s="8"/>
      <c r="L1" s="8"/>
      <c r="M1" s="8"/>
      <c r="N1" s="8"/>
    </row>
    <row r="2" ht="9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ht="21.0" customHeight="1">
      <c r="A3" s="11" t="s">
        <v>14</v>
      </c>
      <c r="B3" s="12"/>
      <c r="C3" s="12"/>
      <c r="D3" s="12"/>
      <c r="E3" s="12"/>
      <c r="F3" s="13"/>
      <c r="G3" s="8"/>
      <c r="H3" s="8"/>
      <c r="I3" s="8"/>
      <c r="J3" s="8"/>
      <c r="K3" s="8"/>
      <c r="L3" s="8"/>
      <c r="M3" s="8"/>
      <c r="N3" s="8"/>
    </row>
    <row r="4" ht="14.25" customHeight="1">
      <c r="A4" s="8"/>
      <c r="B4" s="8"/>
      <c r="C4" s="8"/>
      <c r="D4" s="14" t="s">
        <v>15</v>
      </c>
      <c r="E4" s="8"/>
      <c r="F4" s="8"/>
      <c r="G4" s="8"/>
      <c r="H4" s="8"/>
      <c r="I4" s="8"/>
      <c r="J4" s="8"/>
      <c r="K4" s="8"/>
      <c r="L4" s="8"/>
      <c r="M4" s="8"/>
      <c r="N4" s="8"/>
    </row>
    <row r="5" ht="39.0" customHeight="1">
      <c r="A5" s="16" t="s">
        <v>17</v>
      </c>
      <c r="B5" s="16" t="s">
        <v>18</v>
      </c>
      <c r="C5" s="16" t="s">
        <v>19</v>
      </c>
      <c r="D5" s="16" t="s">
        <v>20</v>
      </c>
      <c r="E5" s="16" t="s">
        <v>21</v>
      </c>
      <c r="F5" s="16" t="s">
        <v>22</v>
      </c>
      <c r="G5" s="17" t="s">
        <v>23</v>
      </c>
      <c r="H5" s="17" t="s">
        <v>24</v>
      </c>
      <c r="I5" s="17" t="s">
        <v>25</v>
      </c>
      <c r="J5" s="8"/>
      <c r="K5" s="8"/>
      <c r="L5" s="8"/>
      <c r="M5" s="8"/>
      <c r="N5" s="8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31.5" customHeight="1">
      <c r="A6" s="20"/>
      <c r="B6" s="20"/>
      <c r="C6" s="20" t="s">
        <v>31</v>
      </c>
      <c r="D6" s="21"/>
      <c r="E6" s="23"/>
      <c r="F6" s="20" t="s">
        <v>34</v>
      </c>
      <c r="G6" s="26">
        <v>65892.72</v>
      </c>
      <c r="H6" s="31">
        <f>G6:G7-H7-H8-H10-H9-H12+G13+G11</f>
        <v>63167.72</v>
      </c>
      <c r="I6" s="26">
        <v>0.0</v>
      </c>
      <c r="J6" s="34"/>
      <c r="K6" s="34"/>
      <c r="L6" s="8"/>
      <c r="M6" s="8"/>
      <c r="N6" s="8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21.75" customHeight="1">
      <c r="A7" s="20"/>
      <c r="B7" s="20"/>
      <c r="C7" s="20" t="s">
        <v>39</v>
      </c>
      <c r="D7" s="21"/>
      <c r="E7" s="23"/>
      <c r="F7" s="20" t="s">
        <v>40</v>
      </c>
      <c r="G7" s="26">
        <v>225.0</v>
      </c>
      <c r="H7" s="31">
        <f t="shared" ref="H7:H8" si="1">G7</f>
        <v>225</v>
      </c>
      <c r="I7" s="31"/>
      <c r="J7" s="8"/>
      <c r="K7" s="34"/>
      <c r="L7" s="8"/>
      <c r="M7" s="8"/>
      <c r="N7" s="8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21.75" customHeight="1">
      <c r="A8" s="20"/>
      <c r="B8" s="20"/>
      <c r="C8" s="20" t="s">
        <v>47</v>
      </c>
      <c r="D8" s="21"/>
      <c r="E8" s="23"/>
      <c r="F8" s="20" t="s">
        <v>48</v>
      </c>
      <c r="G8" s="26">
        <v>0.0</v>
      </c>
      <c r="H8" s="41">
        <f t="shared" si="1"/>
        <v>0</v>
      </c>
      <c r="I8" s="31"/>
      <c r="J8" s="8"/>
      <c r="K8" s="34"/>
      <c r="L8" s="8"/>
      <c r="M8" s="8"/>
      <c r="N8" s="8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31.5" customHeight="1">
      <c r="A9" s="20"/>
      <c r="B9" s="20"/>
      <c r="C9" s="20" t="s">
        <v>51</v>
      </c>
      <c r="D9" s="21"/>
      <c r="E9" s="23"/>
      <c r="F9" s="20" t="s">
        <v>53</v>
      </c>
      <c r="G9" s="26">
        <v>0.0</v>
      </c>
      <c r="H9" s="26">
        <v>0.0</v>
      </c>
      <c r="I9" s="31"/>
      <c r="J9" s="8"/>
      <c r="K9" s="8"/>
      <c r="L9" s="8"/>
      <c r="M9" s="8"/>
      <c r="N9" s="8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31.5" customHeight="1">
      <c r="A10" s="20"/>
      <c r="B10" s="20"/>
      <c r="C10" s="20" t="s">
        <v>39</v>
      </c>
      <c r="D10" s="21"/>
      <c r="E10" s="23"/>
      <c r="F10" s="20" t="s">
        <v>55</v>
      </c>
      <c r="G10" s="26">
        <v>0.0</v>
      </c>
      <c r="H10" s="41">
        <f>G10</f>
        <v>0</v>
      </c>
      <c r="I10" s="31"/>
      <c r="J10" s="46"/>
      <c r="K10" s="8"/>
      <c r="L10" s="8"/>
      <c r="M10" s="8"/>
      <c r="N10" s="8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21.75" customHeight="1">
      <c r="A11" s="20"/>
      <c r="B11" s="20"/>
      <c r="C11" s="20" t="s">
        <v>59</v>
      </c>
      <c r="D11" s="49"/>
      <c r="E11" s="23"/>
      <c r="F11" s="20" t="s">
        <v>63</v>
      </c>
      <c r="G11" s="50">
        <v>0.0</v>
      </c>
      <c r="H11" s="41"/>
      <c r="I11" s="31"/>
      <c r="J11" s="34"/>
      <c r="K11" s="34"/>
      <c r="L11" s="8"/>
      <c r="M11" s="8"/>
      <c r="N11" s="46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31.5" customHeight="1">
      <c r="A12" s="20"/>
      <c r="B12" s="20"/>
      <c r="C12" s="20" t="s">
        <v>74</v>
      </c>
      <c r="D12" s="49">
        <v>3645.0</v>
      </c>
      <c r="E12" s="23"/>
      <c r="F12" s="20" t="s">
        <v>77</v>
      </c>
      <c r="G12" s="26">
        <v>2500.0</v>
      </c>
      <c r="H12" s="31">
        <f>G12</f>
        <v>2500</v>
      </c>
      <c r="I12" s="31"/>
      <c r="J12" s="34"/>
      <c r="K12" s="34"/>
      <c r="L12" s="8"/>
      <c r="M12" s="8"/>
      <c r="N12" s="8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31.5" customHeight="1">
      <c r="A13" s="20"/>
      <c r="B13" s="20" t="s">
        <v>81</v>
      </c>
      <c r="C13" s="61" t="s">
        <v>82</v>
      </c>
      <c r="D13" s="62" t="s">
        <v>83</v>
      </c>
      <c r="E13" s="63" t="s">
        <v>83</v>
      </c>
      <c r="F13" s="61" t="s">
        <v>85</v>
      </c>
      <c r="G13" s="65">
        <v>0.0</v>
      </c>
      <c r="H13" s="65">
        <v>0.0</v>
      </c>
      <c r="I13" s="66"/>
      <c r="J13" s="34"/>
      <c r="K13" s="34"/>
      <c r="L13" s="8"/>
      <c r="M13" s="8"/>
      <c r="N13" s="8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21.75" customHeight="1">
      <c r="A14" s="20"/>
      <c r="B14" s="20"/>
      <c r="C14" s="61" t="s">
        <v>89</v>
      </c>
      <c r="D14" s="68" t="s">
        <v>90</v>
      </c>
      <c r="E14" s="69">
        <v>2.11110101E8</v>
      </c>
      <c r="F14" s="61" t="s">
        <v>91</v>
      </c>
      <c r="G14" s="70">
        <v>2800.0</v>
      </c>
      <c r="H14" s="66">
        <f>G14</f>
        <v>2800</v>
      </c>
      <c r="I14" s="66"/>
      <c r="J14" s="34"/>
      <c r="K14" s="34"/>
      <c r="L14" s="8"/>
      <c r="M14" s="8"/>
      <c r="N14" s="8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21.75" customHeight="1">
      <c r="A15" s="74"/>
      <c r="B15" s="76" t="s">
        <v>83</v>
      </c>
      <c r="C15" s="77" t="s">
        <v>83</v>
      </c>
      <c r="D15" s="78" t="s">
        <v>97</v>
      </c>
      <c r="E15" s="79"/>
      <c r="F15" s="81" t="s">
        <v>102</v>
      </c>
      <c r="G15" s="40"/>
      <c r="H15" s="83">
        <v>68692.72</v>
      </c>
      <c r="I15" s="84">
        <f>SUM(I6:I14)</f>
        <v>0</v>
      </c>
      <c r="J15" s="34"/>
      <c r="K15" s="34"/>
      <c r="L15" s="8"/>
      <c r="M15" s="8"/>
      <c r="N15" s="46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21.75" customHeight="1">
      <c r="A16" s="87"/>
      <c r="B16" s="87"/>
      <c r="C16" s="87"/>
      <c r="D16" s="89" t="s">
        <v>107</v>
      </c>
      <c r="E16" s="91"/>
      <c r="F16" s="91"/>
      <c r="G16" s="94"/>
      <c r="H16" s="94"/>
      <c r="I16" s="95"/>
      <c r="J16" s="34"/>
      <c r="K16" s="8"/>
      <c r="L16" s="8"/>
      <c r="M16" s="8"/>
      <c r="N16" s="8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31.5" customHeight="1">
      <c r="A17" s="16" t="s">
        <v>17</v>
      </c>
      <c r="B17" s="16" t="s">
        <v>18</v>
      </c>
      <c r="C17" s="16" t="s">
        <v>19</v>
      </c>
      <c r="D17" s="16" t="s">
        <v>20</v>
      </c>
      <c r="E17" s="16" t="s">
        <v>21</v>
      </c>
      <c r="F17" s="16" t="s">
        <v>22</v>
      </c>
      <c r="G17" s="17" t="s">
        <v>23</v>
      </c>
      <c r="H17" s="17" t="s">
        <v>24</v>
      </c>
      <c r="I17" s="17" t="s">
        <v>25</v>
      </c>
      <c r="J17" s="100"/>
      <c r="K17" s="34"/>
      <c r="L17" s="34"/>
      <c r="M17" s="34"/>
      <c r="N17" s="8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7.25" customHeight="1">
      <c r="A18" s="101"/>
      <c r="B18" s="102"/>
      <c r="C18" s="102" t="s">
        <v>119</v>
      </c>
      <c r="D18" s="103"/>
      <c r="E18" s="103"/>
      <c r="F18" s="102" t="s">
        <v>121</v>
      </c>
      <c r="G18" s="104">
        <v>0.0</v>
      </c>
      <c r="H18" s="105">
        <f t="shared" ref="H18:H20" si="2">G18</f>
        <v>0</v>
      </c>
      <c r="I18" s="106">
        <v>0.0</v>
      </c>
      <c r="J18" s="46"/>
      <c r="K18" s="34"/>
      <c r="L18" s="34"/>
      <c r="M18" s="34"/>
      <c r="N18" s="8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3.5" customHeight="1">
      <c r="A19" s="107"/>
      <c r="B19" s="20"/>
      <c r="C19" s="20" t="s">
        <v>129</v>
      </c>
      <c r="D19" s="23"/>
      <c r="E19" s="23"/>
      <c r="F19" s="20" t="s">
        <v>131</v>
      </c>
      <c r="G19" s="26">
        <v>32736.28</v>
      </c>
      <c r="H19" s="41">
        <f t="shared" si="2"/>
        <v>32736.28</v>
      </c>
      <c r="I19" s="110"/>
      <c r="J19" s="34"/>
      <c r="K19" s="34"/>
      <c r="L19" s="34"/>
      <c r="M19" s="34"/>
      <c r="N19" s="8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20.25" customHeight="1">
      <c r="A20" s="107"/>
      <c r="B20" s="20"/>
      <c r="C20" s="20" t="s">
        <v>137</v>
      </c>
      <c r="D20" s="23"/>
      <c r="E20" s="23"/>
      <c r="F20" s="20" t="s">
        <v>138</v>
      </c>
      <c r="G20" s="26">
        <v>0.0</v>
      </c>
      <c r="H20" s="41">
        <f t="shared" si="2"/>
        <v>0</v>
      </c>
      <c r="I20" s="115">
        <v>0.0</v>
      </c>
      <c r="J20" s="8"/>
      <c r="K20" s="34"/>
      <c r="L20" s="34"/>
      <c r="M20" s="34"/>
      <c r="N20" s="8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20.25" customHeight="1">
      <c r="A21" s="107"/>
      <c r="B21" s="20"/>
      <c r="C21" s="20" t="s">
        <v>137</v>
      </c>
      <c r="D21" s="23"/>
      <c r="E21" s="23"/>
      <c r="F21" s="20" t="s">
        <v>145</v>
      </c>
      <c r="G21" s="26">
        <v>0.0</v>
      </c>
      <c r="H21" s="26">
        <v>0.0</v>
      </c>
      <c r="I21" s="110"/>
      <c r="J21" s="8"/>
      <c r="K21" s="34"/>
      <c r="L21" s="34"/>
      <c r="M21" s="34"/>
      <c r="N21" s="8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31.5" customHeight="1">
      <c r="A22" s="107"/>
      <c r="B22" s="20"/>
      <c r="C22" s="20" t="s">
        <v>148</v>
      </c>
      <c r="D22" s="23"/>
      <c r="E22" s="23"/>
      <c r="F22" s="20" t="s">
        <v>150</v>
      </c>
      <c r="G22" s="26">
        <v>113.59</v>
      </c>
      <c r="H22" s="41">
        <f t="shared" ref="H22:H27" si="3">G22</f>
        <v>113.59</v>
      </c>
      <c r="I22" s="110"/>
      <c r="J22" s="34"/>
      <c r="K22" s="34"/>
      <c r="L22" s="34"/>
      <c r="M22" s="34"/>
      <c r="N22" s="8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31.5" customHeight="1">
      <c r="A23" s="107"/>
      <c r="B23" s="20"/>
      <c r="C23" s="121" t="s">
        <v>74</v>
      </c>
      <c r="D23" s="49">
        <v>3645.0</v>
      </c>
      <c r="E23" s="23"/>
      <c r="F23" s="20" t="s">
        <v>153</v>
      </c>
      <c r="G23" s="26">
        <v>0.0</v>
      </c>
      <c r="H23" s="41">
        <f t="shared" si="3"/>
        <v>0</v>
      </c>
      <c r="I23" s="110"/>
      <c r="J23" s="34"/>
      <c r="K23" s="34"/>
      <c r="L23" s="34"/>
      <c r="M23" s="34"/>
      <c r="N23" s="8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31.5" customHeight="1">
      <c r="A24" s="107"/>
      <c r="B24" s="20"/>
      <c r="C24" s="121" t="s">
        <v>155</v>
      </c>
      <c r="D24" s="23"/>
      <c r="E24" s="23"/>
      <c r="F24" s="20" t="s">
        <v>156</v>
      </c>
      <c r="G24" s="26">
        <v>5172.33</v>
      </c>
      <c r="H24" s="41">
        <f t="shared" si="3"/>
        <v>5172.33</v>
      </c>
      <c r="I24" s="110"/>
      <c r="J24" s="34"/>
      <c r="K24" s="34"/>
      <c r="L24" s="34"/>
      <c r="M24" s="34"/>
      <c r="N24" s="8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9.5" customHeight="1">
      <c r="A25" s="107"/>
      <c r="B25" s="20"/>
      <c r="C25" s="121" t="s">
        <v>155</v>
      </c>
      <c r="D25" s="23"/>
      <c r="E25" s="23"/>
      <c r="F25" s="20" t="s">
        <v>161</v>
      </c>
      <c r="G25" s="26">
        <v>15935.28</v>
      </c>
      <c r="H25" s="41">
        <f t="shared" si="3"/>
        <v>15935.28</v>
      </c>
      <c r="I25" s="110"/>
      <c r="J25" s="34"/>
      <c r="K25" s="34"/>
      <c r="L25" s="34"/>
      <c r="M25" s="34"/>
      <c r="N25" s="8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23.25" customHeight="1">
      <c r="A26" s="107"/>
      <c r="B26" s="20"/>
      <c r="C26" s="20" t="s">
        <v>164</v>
      </c>
      <c r="D26" s="23"/>
      <c r="E26" s="23"/>
      <c r="F26" s="20" t="s">
        <v>165</v>
      </c>
      <c r="G26" s="129">
        <v>5448.82</v>
      </c>
      <c r="H26" s="130">
        <f t="shared" si="3"/>
        <v>5448.82</v>
      </c>
      <c r="I26" s="115">
        <v>0.0</v>
      </c>
      <c r="J26" s="34"/>
      <c r="K26" s="34"/>
      <c r="L26" s="34"/>
      <c r="M26" s="34"/>
      <c r="N26" s="8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28.5" customHeight="1">
      <c r="A27" s="107"/>
      <c r="B27" s="20"/>
      <c r="C27" s="131" t="s">
        <v>167</v>
      </c>
      <c r="D27" s="23"/>
      <c r="E27" s="23"/>
      <c r="F27" s="131" t="s">
        <v>168</v>
      </c>
      <c r="G27" s="129">
        <v>28173.56</v>
      </c>
      <c r="H27" s="132">
        <f t="shared" si="3"/>
        <v>28173.56</v>
      </c>
      <c r="I27" s="133">
        <v>0.0</v>
      </c>
      <c r="J27" s="30"/>
      <c r="K27" s="30"/>
      <c r="L27" s="30"/>
      <c r="M27" s="30"/>
      <c r="N27" s="8"/>
    </row>
    <row r="28" ht="40.5" customHeight="1">
      <c r="A28" s="107"/>
      <c r="B28" s="20"/>
      <c r="C28" s="131" t="s">
        <v>171</v>
      </c>
      <c r="D28" s="23"/>
      <c r="E28" s="23"/>
      <c r="F28" s="131" t="s">
        <v>172</v>
      </c>
      <c r="G28" s="129">
        <v>95035.04</v>
      </c>
      <c r="H28" s="132">
        <f>G28-(H19+H22+H25+H27+H20+H21+H23+H24)</f>
        <v>12904</v>
      </c>
      <c r="I28" s="133">
        <v>21954.09</v>
      </c>
      <c r="J28" s="30"/>
      <c r="K28" s="30"/>
      <c r="L28" s="8"/>
      <c r="M28" s="34"/>
      <c r="N28" s="8"/>
    </row>
    <row r="29" ht="31.5" customHeight="1">
      <c r="A29" s="107"/>
      <c r="B29" s="20"/>
      <c r="C29" s="131" t="s">
        <v>89</v>
      </c>
      <c r="D29" s="134"/>
      <c r="E29" s="23"/>
      <c r="F29" s="131" t="s">
        <v>176</v>
      </c>
      <c r="G29" s="129">
        <v>28006.17</v>
      </c>
      <c r="H29" s="129">
        <v>28006.17</v>
      </c>
      <c r="I29" s="8"/>
      <c r="J29" s="30"/>
      <c r="K29" s="30"/>
      <c r="L29" s="8"/>
      <c r="M29" s="34"/>
      <c r="N29" s="8"/>
    </row>
    <row r="30" ht="31.5" customHeight="1">
      <c r="A30" s="135"/>
      <c r="B30" s="136" t="s">
        <v>83</v>
      </c>
      <c r="C30" s="136"/>
      <c r="D30" s="137" t="s">
        <v>97</v>
      </c>
      <c r="E30" s="138" t="s">
        <v>83</v>
      </c>
      <c r="F30" s="139" t="s">
        <v>23</v>
      </c>
      <c r="G30" s="140"/>
      <c r="H30" s="141">
        <v>128490.03</v>
      </c>
      <c r="I30" s="142">
        <f>SUM(I18:I29)</f>
        <v>21954.09</v>
      </c>
      <c r="J30" s="30"/>
      <c r="K30" s="30"/>
      <c r="L30" s="30"/>
      <c r="M30" s="47"/>
      <c r="N30" s="8"/>
    </row>
    <row r="31" ht="31.5" customHeight="1">
      <c r="A31" s="144"/>
      <c r="B31" s="87"/>
      <c r="C31" s="144"/>
      <c r="D31" s="145" t="s">
        <v>182</v>
      </c>
      <c r="E31" s="146"/>
      <c r="F31" s="94"/>
      <c r="G31" s="94"/>
      <c r="H31" s="147"/>
      <c r="I31" s="147"/>
      <c r="J31" s="30"/>
      <c r="K31" s="30"/>
      <c r="L31" s="47"/>
      <c r="M31" s="8"/>
      <c r="N31" s="8"/>
    </row>
    <row r="32" ht="27.75" customHeight="1">
      <c r="A32" s="16" t="s">
        <v>17</v>
      </c>
      <c r="B32" s="16" t="s">
        <v>18</v>
      </c>
      <c r="C32" s="16" t="s">
        <v>19</v>
      </c>
      <c r="D32" s="16" t="s">
        <v>20</v>
      </c>
      <c r="E32" s="16" t="s">
        <v>21</v>
      </c>
      <c r="F32" s="16" t="s">
        <v>22</v>
      </c>
      <c r="G32" s="17" t="s">
        <v>23</v>
      </c>
      <c r="H32" s="17" t="s">
        <v>24</v>
      </c>
      <c r="I32" s="17" t="s">
        <v>25</v>
      </c>
      <c r="J32" s="30"/>
      <c r="K32" s="30"/>
      <c r="L32" s="47"/>
      <c r="M32" s="8"/>
      <c r="N32" s="8"/>
    </row>
    <row r="33" ht="24.0" customHeight="1">
      <c r="A33" s="149"/>
      <c r="B33" s="150"/>
      <c r="C33" s="151" t="s">
        <v>129</v>
      </c>
      <c r="D33" s="152"/>
      <c r="E33" s="152"/>
      <c r="F33" s="151" t="s">
        <v>188</v>
      </c>
      <c r="G33" s="37">
        <v>17777.97</v>
      </c>
      <c r="H33" s="153">
        <f t="shared" ref="H33:H34" si="4">G33</f>
        <v>17777.97</v>
      </c>
      <c r="I33" s="154">
        <v>0.0</v>
      </c>
      <c r="J33" s="125"/>
      <c r="K33" s="8"/>
      <c r="L33" s="8"/>
      <c r="M33" s="8"/>
      <c r="N33" s="8"/>
    </row>
    <row r="34" ht="21.0" customHeight="1">
      <c r="A34" s="107"/>
      <c r="B34" s="20"/>
      <c r="C34" s="131" t="s">
        <v>148</v>
      </c>
      <c r="D34" s="155"/>
      <c r="E34" s="155"/>
      <c r="F34" s="131" t="s">
        <v>193</v>
      </c>
      <c r="G34" s="129">
        <v>0.0</v>
      </c>
      <c r="H34" s="60">
        <f t="shared" si="4"/>
        <v>0</v>
      </c>
      <c r="I34" s="156"/>
      <c r="J34" s="125"/>
      <c r="K34" s="8"/>
      <c r="L34" s="30"/>
      <c r="M34" s="8"/>
      <c r="N34" s="8"/>
    </row>
    <row r="35" ht="27.75" customHeight="1">
      <c r="A35" s="107"/>
      <c r="B35" s="20"/>
      <c r="C35" s="131" t="s">
        <v>167</v>
      </c>
      <c r="D35" s="155"/>
      <c r="E35" s="155"/>
      <c r="F35" s="160" t="s">
        <v>197</v>
      </c>
      <c r="G35" s="129">
        <v>208034.53</v>
      </c>
      <c r="H35" s="60">
        <f>G35-H33-H39-H34-H40-H37-H42-H38</f>
        <v>140364.69</v>
      </c>
      <c r="I35" s="133">
        <v>15363.42</v>
      </c>
      <c r="J35" s="30"/>
      <c r="K35" s="30"/>
      <c r="L35" s="8"/>
      <c r="M35" s="8"/>
      <c r="N35" s="8"/>
    </row>
    <row r="36" ht="31.5" customHeight="1">
      <c r="A36" s="107"/>
      <c r="B36" s="20"/>
      <c r="C36" s="131" t="s">
        <v>171</v>
      </c>
      <c r="D36" s="165"/>
      <c r="E36" s="155"/>
      <c r="F36" s="167" t="s">
        <v>205</v>
      </c>
      <c r="G36" s="129">
        <v>0.0</v>
      </c>
      <c r="H36" s="129">
        <v>0.0</v>
      </c>
      <c r="I36" s="133">
        <v>0.0</v>
      </c>
      <c r="J36" s="8"/>
      <c r="K36" s="8"/>
      <c r="L36" s="8"/>
      <c r="M36" s="8"/>
      <c r="N36" s="8"/>
    </row>
    <row r="37" ht="21.75" customHeight="1">
      <c r="A37" s="107"/>
      <c r="B37" s="20"/>
      <c r="C37" s="169" t="s">
        <v>155</v>
      </c>
      <c r="D37" s="165"/>
      <c r="E37" s="155"/>
      <c r="F37" s="131" t="s">
        <v>161</v>
      </c>
      <c r="G37" s="129">
        <v>23661.94</v>
      </c>
      <c r="H37" s="60">
        <f t="shared" ref="H37:H40" si="5">G37</f>
        <v>23661.94</v>
      </c>
      <c r="I37" s="156"/>
      <c r="J37" s="47"/>
      <c r="K37" s="8"/>
      <c r="L37" s="8"/>
      <c r="M37" s="8"/>
      <c r="N37" s="8"/>
    </row>
    <row r="38" ht="33.75" customHeight="1">
      <c r="A38" s="107"/>
      <c r="B38" s="20"/>
      <c r="C38" s="169" t="s">
        <v>155</v>
      </c>
      <c r="D38" s="165"/>
      <c r="E38" s="155"/>
      <c r="F38" s="131" t="s">
        <v>156</v>
      </c>
      <c r="G38" s="129">
        <v>25229.93</v>
      </c>
      <c r="H38" s="60">
        <f t="shared" si="5"/>
        <v>25229.93</v>
      </c>
      <c r="I38" s="156"/>
      <c r="J38" s="8"/>
      <c r="K38" s="8"/>
      <c r="L38" s="8"/>
      <c r="M38" s="8"/>
      <c r="N38" s="8"/>
    </row>
    <row r="39" ht="28.5" customHeight="1">
      <c r="A39" s="107"/>
      <c r="B39" s="20"/>
      <c r="C39" s="131" t="s">
        <v>47</v>
      </c>
      <c r="D39" s="23"/>
      <c r="E39" s="23"/>
      <c r="F39" s="131" t="s">
        <v>220</v>
      </c>
      <c r="G39" s="129">
        <v>0.0</v>
      </c>
      <c r="H39" s="60">
        <f t="shared" si="5"/>
        <v>0</v>
      </c>
      <c r="I39" s="173"/>
      <c r="J39" s="30"/>
      <c r="K39" s="119"/>
      <c r="L39" s="30"/>
      <c r="M39" s="30"/>
      <c r="N39" s="30"/>
    </row>
    <row r="40" ht="28.5" customHeight="1">
      <c r="A40" s="107"/>
      <c r="B40" s="20"/>
      <c r="C40" s="131" t="s">
        <v>47</v>
      </c>
      <c r="D40" s="23"/>
      <c r="E40" s="23"/>
      <c r="F40" s="131" t="s">
        <v>223</v>
      </c>
      <c r="G40" s="129">
        <v>0.0</v>
      </c>
      <c r="H40" s="60">
        <f t="shared" si="5"/>
        <v>0</v>
      </c>
      <c r="I40" s="156"/>
      <c r="J40" s="30"/>
      <c r="K40" s="30"/>
      <c r="L40" s="30"/>
      <c r="M40" s="30"/>
      <c r="N40" s="30"/>
    </row>
    <row r="41" ht="29.25" customHeight="1">
      <c r="A41" s="175"/>
      <c r="B41" s="20"/>
      <c r="C41" s="131" t="s">
        <v>164</v>
      </c>
      <c r="D41" s="121"/>
      <c r="E41" s="23"/>
      <c r="F41" s="131" t="s">
        <v>229</v>
      </c>
      <c r="G41" s="50">
        <v>0.0</v>
      </c>
      <c r="H41" s="50">
        <v>0.0</v>
      </c>
      <c r="I41" s="156"/>
      <c r="J41" s="30"/>
      <c r="K41" s="30"/>
      <c r="L41" s="30"/>
      <c r="M41" s="30"/>
      <c r="N41" s="30"/>
    </row>
    <row r="42" ht="30.75" customHeight="1">
      <c r="A42" s="175"/>
      <c r="B42" s="20"/>
      <c r="C42" s="167" t="s">
        <v>233</v>
      </c>
      <c r="D42" s="49">
        <v>3645.0</v>
      </c>
      <c r="E42" s="179"/>
      <c r="F42" s="167" t="s">
        <v>234</v>
      </c>
      <c r="G42" s="129">
        <v>1000.0</v>
      </c>
      <c r="H42" s="60">
        <f t="shared" ref="H42:H43" si="6">G42</f>
        <v>1000</v>
      </c>
      <c r="I42" s="133">
        <v>0.0</v>
      </c>
      <c r="J42" s="30"/>
      <c r="K42" s="30"/>
      <c r="L42" s="30">
        <f>H44-257926.4</f>
        <v>0</v>
      </c>
      <c r="M42" s="30"/>
      <c r="N42" s="30"/>
    </row>
    <row r="43" ht="28.5" customHeight="1">
      <c r="A43" s="180"/>
      <c r="B43" s="20"/>
      <c r="C43" s="181" t="s">
        <v>89</v>
      </c>
      <c r="D43" s="182"/>
      <c r="E43" s="183"/>
      <c r="F43" s="181" t="s">
        <v>238</v>
      </c>
      <c r="G43" s="184">
        <v>49891.87</v>
      </c>
      <c r="H43" s="60">
        <f t="shared" si="6"/>
        <v>49891.87</v>
      </c>
      <c r="I43" s="185"/>
      <c r="J43" s="30"/>
      <c r="K43" s="30"/>
      <c r="L43" s="30"/>
      <c r="M43" s="30"/>
      <c r="N43" s="30"/>
    </row>
    <row r="44" ht="28.5" customHeight="1">
      <c r="A44" s="186"/>
      <c r="B44" s="187" t="s">
        <v>83</v>
      </c>
      <c r="C44" s="188" t="s">
        <v>83</v>
      </c>
      <c r="D44" s="189" t="s">
        <v>97</v>
      </c>
      <c r="E44" s="190">
        <v>1.11111901E8</v>
      </c>
      <c r="F44" s="191"/>
      <c r="G44" s="192"/>
      <c r="H44" s="193">
        <v>257926.4</v>
      </c>
      <c r="I44" s="194">
        <f>SUM(I33:I43)</f>
        <v>15363.42</v>
      </c>
      <c r="J44" s="30"/>
      <c r="K44" s="30"/>
      <c r="L44" s="30"/>
      <c r="M44" s="30"/>
      <c r="N44" s="30"/>
    </row>
    <row r="45" ht="28.5" customHeight="1">
      <c r="A45" s="195"/>
      <c r="B45" s="196"/>
      <c r="C45" s="197"/>
      <c r="D45" s="198" t="s">
        <v>70</v>
      </c>
      <c r="E45" s="199"/>
      <c r="F45" s="200"/>
      <c r="G45" s="200"/>
      <c r="H45" s="201"/>
      <c r="I45" s="202"/>
      <c r="J45" s="30"/>
      <c r="K45" s="30"/>
      <c r="L45" s="30"/>
      <c r="M45" s="30"/>
      <c r="N45" s="30"/>
    </row>
    <row r="46" ht="28.5" customHeight="1">
      <c r="A46" s="16" t="s">
        <v>17</v>
      </c>
      <c r="B46" s="16" t="s">
        <v>18</v>
      </c>
      <c r="C46" s="16" t="s">
        <v>19</v>
      </c>
      <c r="D46" s="16" t="s">
        <v>253</v>
      </c>
      <c r="E46" s="16" t="s">
        <v>21</v>
      </c>
      <c r="F46" s="16" t="s">
        <v>22</v>
      </c>
      <c r="G46" s="17" t="s">
        <v>23</v>
      </c>
      <c r="H46" s="17" t="s">
        <v>24</v>
      </c>
      <c r="I46" s="17" t="s">
        <v>25</v>
      </c>
      <c r="J46" s="30"/>
      <c r="K46" s="30"/>
      <c r="L46" s="30"/>
      <c r="M46" s="30"/>
      <c r="N46" s="30"/>
    </row>
    <row r="47" ht="28.5" customHeight="1">
      <c r="A47" s="149"/>
      <c r="B47" s="150"/>
      <c r="C47" s="151" t="s">
        <v>254</v>
      </c>
      <c r="D47" s="152"/>
      <c r="E47" s="152"/>
      <c r="F47" s="151" t="s">
        <v>255</v>
      </c>
      <c r="G47" s="203">
        <v>48.44</v>
      </c>
      <c r="H47" s="153">
        <f t="shared" ref="H47:H48" si="7">G47</f>
        <v>48.44</v>
      </c>
      <c r="I47" s="154">
        <v>0.0</v>
      </c>
      <c r="J47" s="30"/>
      <c r="K47" s="30"/>
      <c r="L47" s="30"/>
      <c r="M47" s="30"/>
      <c r="N47" s="30"/>
    </row>
    <row r="48" ht="28.5" customHeight="1">
      <c r="A48" s="107"/>
      <c r="B48" s="20"/>
      <c r="C48" s="131" t="s">
        <v>259</v>
      </c>
      <c r="D48" s="155"/>
      <c r="E48" s="155"/>
      <c r="F48" s="131" t="s">
        <v>260</v>
      </c>
      <c r="G48" s="129">
        <v>17.98</v>
      </c>
      <c r="H48" s="60">
        <f t="shared" si="7"/>
        <v>17.98</v>
      </c>
      <c r="I48" s="133">
        <v>0.0</v>
      </c>
      <c r="J48" s="30"/>
      <c r="K48" s="30"/>
      <c r="L48" s="30"/>
      <c r="M48" s="30"/>
      <c r="N48" s="30"/>
    </row>
    <row r="49" ht="28.5" customHeight="1">
      <c r="A49" s="107"/>
      <c r="B49" s="20"/>
      <c r="C49" s="131" t="s">
        <v>264</v>
      </c>
      <c r="D49" s="155"/>
      <c r="E49" s="155"/>
      <c r="F49" s="131" t="s">
        <v>267</v>
      </c>
      <c r="G49" s="129">
        <v>11569.55</v>
      </c>
      <c r="H49" s="60">
        <f>G49-H47-H53-H48-H54-H51-H56-H52</f>
        <v>7713.54</v>
      </c>
      <c r="I49" s="133">
        <v>4320.57</v>
      </c>
      <c r="J49" s="30"/>
      <c r="K49" s="30"/>
      <c r="L49" s="30"/>
      <c r="M49" s="30"/>
      <c r="N49" s="30"/>
    </row>
    <row r="50" ht="28.5" customHeight="1">
      <c r="A50" s="107"/>
      <c r="B50" s="20"/>
      <c r="C50" s="131"/>
      <c r="D50" s="165"/>
      <c r="E50" s="155"/>
      <c r="F50" s="167"/>
      <c r="G50" s="129">
        <v>0.0</v>
      </c>
      <c r="H50" s="129">
        <v>0.0</v>
      </c>
      <c r="I50" s="156"/>
      <c r="J50" s="30"/>
      <c r="K50" s="30"/>
      <c r="L50" s="30"/>
      <c r="M50" s="30"/>
      <c r="N50" s="30"/>
    </row>
    <row r="51" ht="28.5" customHeight="1">
      <c r="A51" s="107"/>
      <c r="B51" s="20"/>
      <c r="C51" s="169" t="s">
        <v>155</v>
      </c>
      <c r="D51" s="165"/>
      <c r="E51" s="155"/>
      <c r="F51" s="131" t="s">
        <v>161</v>
      </c>
      <c r="G51" s="129">
        <v>3789.59</v>
      </c>
      <c r="H51" s="60">
        <f t="shared" ref="H51:H57" si="8">G51</f>
        <v>3789.59</v>
      </c>
      <c r="I51" s="156"/>
      <c r="J51" s="30"/>
      <c r="K51" s="30"/>
      <c r="L51" s="30"/>
      <c r="M51" s="30"/>
      <c r="N51" s="30"/>
    </row>
    <row r="52" ht="28.5" customHeight="1">
      <c r="A52" s="107"/>
      <c r="B52" s="20"/>
      <c r="C52" s="169" t="s">
        <v>155</v>
      </c>
      <c r="D52" s="165"/>
      <c r="E52" s="155"/>
      <c r="F52" s="131" t="s">
        <v>276</v>
      </c>
      <c r="G52" s="129">
        <v>0.0</v>
      </c>
      <c r="H52" s="60">
        <f t="shared" si="8"/>
        <v>0</v>
      </c>
      <c r="I52" s="156"/>
      <c r="J52" s="30"/>
      <c r="K52" s="30"/>
      <c r="L52" s="30"/>
      <c r="M52" s="30"/>
      <c r="N52" s="30"/>
    </row>
    <row r="53" ht="28.5" customHeight="1">
      <c r="A53" s="107"/>
      <c r="B53" s="20"/>
      <c r="C53" s="131" t="s">
        <v>279</v>
      </c>
      <c r="D53" s="23"/>
      <c r="E53" s="23"/>
      <c r="F53" s="131" t="s">
        <v>280</v>
      </c>
      <c r="G53" s="129">
        <v>0.0</v>
      </c>
      <c r="H53" s="60">
        <f t="shared" si="8"/>
        <v>0</v>
      </c>
      <c r="I53" s="173"/>
      <c r="J53" s="30"/>
      <c r="K53" s="30"/>
      <c r="L53" s="30"/>
      <c r="M53" s="30"/>
      <c r="N53" s="30"/>
    </row>
    <row r="54" ht="28.5" customHeight="1">
      <c r="A54" s="107"/>
      <c r="B54" s="20"/>
      <c r="C54" s="131" t="s">
        <v>47</v>
      </c>
      <c r="D54" s="23"/>
      <c r="E54" s="23"/>
      <c r="F54" s="131" t="s">
        <v>282</v>
      </c>
      <c r="G54" s="129">
        <v>0.0</v>
      </c>
      <c r="H54" s="60">
        <f t="shared" si="8"/>
        <v>0</v>
      </c>
      <c r="I54" s="156"/>
      <c r="J54" s="30"/>
      <c r="K54" s="30"/>
      <c r="L54" s="30"/>
      <c r="M54" s="30"/>
      <c r="N54" s="30"/>
    </row>
    <row r="55" ht="28.5" customHeight="1">
      <c r="A55" s="175"/>
      <c r="B55" s="20"/>
      <c r="C55" s="131" t="s">
        <v>286</v>
      </c>
      <c r="D55" s="121" t="s">
        <v>90</v>
      </c>
      <c r="E55" s="23"/>
      <c r="F55" s="131" t="s">
        <v>287</v>
      </c>
      <c r="G55" s="50">
        <v>561.11</v>
      </c>
      <c r="H55" s="60">
        <f t="shared" si="8"/>
        <v>561.11</v>
      </c>
      <c r="I55" s="156"/>
      <c r="J55" s="30"/>
      <c r="K55" s="30"/>
      <c r="L55" s="30"/>
      <c r="M55" s="30"/>
      <c r="N55" s="30"/>
    </row>
    <row r="56" ht="28.5" customHeight="1">
      <c r="A56" s="175"/>
      <c r="B56" s="20"/>
      <c r="C56" s="167" t="s">
        <v>233</v>
      </c>
      <c r="D56" s="215" t="s">
        <v>90</v>
      </c>
      <c r="E56" s="179"/>
      <c r="F56" s="167" t="s">
        <v>234</v>
      </c>
      <c r="G56" s="129">
        <v>0.0</v>
      </c>
      <c r="H56" s="60">
        <f t="shared" si="8"/>
        <v>0</v>
      </c>
      <c r="I56" s="133">
        <v>0.0</v>
      </c>
      <c r="J56" s="30"/>
      <c r="K56" s="30"/>
      <c r="L56" s="30"/>
      <c r="M56" s="30"/>
      <c r="N56" s="30"/>
    </row>
    <row r="57" ht="28.5" customHeight="1">
      <c r="A57" s="180"/>
      <c r="B57" s="20"/>
      <c r="C57" s="181" t="s">
        <v>89</v>
      </c>
      <c r="D57" s="182" t="s">
        <v>90</v>
      </c>
      <c r="E57" s="183"/>
      <c r="F57" s="181" t="s">
        <v>238</v>
      </c>
      <c r="G57" s="184">
        <v>3789.59</v>
      </c>
      <c r="H57" s="60">
        <f t="shared" si="8"/>
        <v>3789.59</v>
      </c>
      <c r="I57" s="185"/>
      <c r="J57" s="30"/>
      <c r="K57" s="30"/>
      <c r="L57" s="30"/>
      <c r="M57" s="30"/>
      <c r="N57" s="30"/>
    </row>
    <row r="58" ht="28.5" customHeight="1">
      <c r="A58" s="186"/>
      <c r="B58" s="187" t="s">
        <v>83</v>
      </c>
      <c r="C58" s="188" t="s">
        <v>83</v>
      </c>
      <c r="D58" s="189" t="s">
        <v>97</v>
      </c>
      <c r="E58" s="190">
        <v>1.11111901E8</v>
      </c>
      <c r="F58" s="217"/>
      <c r="G58" s="192"/>
      <c r="H58" s="219">
        <v>15920.25</v>
      </c>
      <c r="I58" s="220">
        <f>SUM(I47:I57)</f>
        <v>4320.57</v>
      </c>
      <c r="J58" s="30"/>
      <c r="K58" s="30"/>
      <c r="L58" s="30"/>
      <c r="M58" s="30"/>
      <c r="N58" s="30"/>
    </row>
    <row r="59" ht="28.5" customHeight="1">
      <c r="A59" s="195"/>
      <c r="B59" s="196"/>
      <c r="C59" s="197"/>
      <c r="D59" s="221"/>
      <c r="E59" s="199"/>
      <c r="F59" s="222"/>
      <c r="G59" s="222"/>
      <c r="H59" s="223"/>
      <c r="I59" s="147"/>
      <c r="J59" s="30"/>
      <c r="K59" s="30"/>
      <c r="L59" s="30"/>
      <c r="M59" s="30"/>
      <c r="N59" s="30"/>
    </row>
    <row r="60" ht="28.5" customHeight="1">
      <c r="A60" s="195"/>
      <c r="B60" s="196"/>
      <c r="C60" s="197"/>
      <c r="D60" s="221"/>
      <c r="E60" s="199"/>
      <c r="F60" s="200"/>
      <c r="G60" s="200"/>
      <c r="H60" s="201"/>
      <c r="I60" s="202"/>
      <c r="J60" s="30"/>
      <c r="K60" s="30"/>
      <c r="L60" s="30"/>
      <c r="M60" s="30"/>
      <c r="N60" s="30"/>
    </row>
    <row r="61" ht="28.5" customHeight="1">
      <c r="A61" s="195"/>
      <c r="B61" s="224"/>
      <c r="C61" s="225"/>
      <c r="D61" s="87"/>
      <c r="E61" s="226" t="s">
        <v>25</v>
      </c>
      <c r="F61" s="222"/>
      <c r="G61" s="222"/>
      <c r="H61" s="147"/>
      <c r="I61" s="147"/>
      <c r="J61" s="30"/>
      <c r="K61" s="30"/>
      <c r="L61" s="30"/>
      <c r="M61" s="30"/>
      <c r="N61" s="30"/>
    </row>
    <row r="62" ht="28.5" customHeight="1">
      <c r="A62" s="227"/>
      <c r="B62" s="228"/>
      <c r="C62" s="229">
        <v>2.11110101E8</v>
      </c>
      <c r="D62" s="230">
        <f>H6+H8+H11+H14+H26+H27+H28+H35+H39+H41+H43+H10+H18+H40</f>
        <v>302750.66</v>
      </c>
      <c r="E62" s="231">
        <f>I15+I30+I44</f>
        <v>37317.51</v>
      </c>
      <c r="F62" s="232">
        <f>D62+E62</f>
        <v>340068.17</v>
      </c>
      <c r="G62" s="30"/>
      <c r="H62" s="8"/>
      <c r="I62" s="237">
        <f>H15+H30+H44+H58</f>
        <v>471029.4</v>
      </c>
      <c r="J62" s="30"/>
      <c r="K62" s="30"/>
      <c r="L62" s="30"/>
      <c r="M62" s="30"/>
      <c r="N62" s="30"/>
    </row>
    <row r="63" ht="28.5" customHeight="1">
      <c r="A63" s="227"/>
      <c r="B63" s="228"/>
      <c r="C63" s="239">
        <v>2.11110102E8</v>
      </c>
      <c r="D63" s="241">
        <f>G7+G19+G33</f>
        <v>50739.25</v>
      </c>
      <c r="E63" s="242"/>
      <c r="F63" s="243"/>
      <c r="G63" s="30"/>
      <c r="H63" s="8"/>
      <c r="I63" s="30"/>
      <c r="J63" s="30"/>
      <c r="K63" s="30"/>
      <c r="L63" s="30"/>
      <c r="M63" s="30"/>
      <c r="N63" s="30"/>
    </row>
    <row r="64" ht="28.5" customHeight="1">
      <c r="A64" s="227"/>
      <c r="B64" s="228"/>
      <c r="C64" s="244">
        <v>2.11110103E8</v>
      </c>
      <c r="D64" s="245">
        <f>G9+G22+G34</f>
        <v>113.59</v>
      </c>
      <c r="E64" s="242"/>
      <c r="F64" s="246">
        <f>D65+E62</f>
        <v>390921.01</v>
      </c>
      <c r="G64" s="30"/>
      <c r="H64" s="247"/>
      <c r="I64" s="30"/>
      <c r="J64" s="30"/>
      <c r="K64" s="30"/>
      <c r="L64" s="30"/>
      <c r="M64" s="30"/>
      <c r="N64" s="30"/>
    </row>
    <row r="65" ht="18.0" customHeight="1">
      <c r="A65" s="227"/>
      <c r="B65" s="196"/>
      <c r="C65" s="196"/>
      <c r="D65" s="248">
        <f>SUM(D62:D64)</f>
        <v>353603.5</v>
      </c>
      <c r="E65" s="249">
        <f>D65-I62</f>
        <v>-117425.9</v>
      </c>
      <c r="F65" s="249"/>
      <c r="G65" s="30"/>
      <c r="H65" s="8"/>
      <c r="I65" s="47"/>
      <c r="J65" s="30"/>
      <c r="K65" s="30"/>
      <c r="L65" s="30"/>
      <c r="M65" s="30"/>
      <c r="N65" s="30"/>
    </row>
    <row r="66" ht="14.25" customHeight="1">
      <c r="A66" s="196"/>
      <c r="B66" s="8"/>
      <c r="C66" s="8"/>
      <c r="D66" s="8"/>
      <c r="E66" s="8"/>
      <c r="F66" s="250" t="s">
        <v>315</v>
      </c>
      <c r="G66" s="8"/>
      <c r="H66" s="8"/>
      <c r="I66" s="8"/>
      <c r="J66" s="30"/>
      <c r="K66" s="30"/>
      <c r="L66" s="30"/>
      <c r="M66" s="30"/>
      <c r="N66" s="30"/>
    </row>
    <row r="67" ht="19.5" customHeight="1">
      <c r="A67" s="8"/>
      <c r="B67" s="251"/>
      <c r="C67" s="251"/>
      <c r="D67" s="251"/>
      <c r="E67" s="125"/>
      <c r="F67" s="37">
        <v>590184.78</v>
      </c>
      <c r="G67" s="8" t="s">
        <v>318</v>
      </c>
      <c r="H67" s="8"/>
      <c r="I67" s="8"/>
      <c r="J67" s="30"/>
      <c r="K67" s="30"/>
      <c r="L67" s="30"/>
      <c r="M67" s="30"/>
      <c r="N67" s="30"/>
    </row>
    <row r="68" ht="27.75" customHeight="1">
      <c r="A68" s="251" t="s">
        <v>320</v>
      </c>
      <c r="D68" s="251"/>
      <c r="E68" s="251"/>
      <c r="F68" s="252">
        <v>24685.86</v>
      </c>
      <c r="G68" s="8" t="s">
        <v>323</v>
      </c>
      <c r="H68" s="8"/>
      <c r="I68" s="8"/>
      <c r="J68" s="30"/>
      <c r="K68" s="30"/>
      <c r="L68" s="30"/>
      <c r="M68" s="30"/>
      <c r="N68" s="30"/>
    </row>
    <row r="69" ht="14.25" customHeight="1">
      <c r="A69" s="251"/>
      <c r="B69" s="251" t="s">
        <v>327</v>
      </c>
      <c r="C69" s="251"/>
      <c r="D69" s="251"/>
      <c r="E69" s="253"/>
      <c r="F69" s="252">
        <v>4503.31</v>
      </c>
      <c r="G69" s="8" t="s">
        <v>329</v>
      </c>
      <c r="H69" s="8"/>
      <c r="I69" s="8"/>
      <c r="J69" s="30"/>
      <c r="K69" s="30"/>
      <c r="L69" s="30"/>
      <c r="M69" s="30"/>
      <c r="N69" s="30"/>
    </row>
    <row r="70" ht="14.25" customHeight="1">
      <c r="A70" s="251"/>
      <c r="B70" s="251"/>
      <c r="C70" s="251"/>
      <c r="D70" s="251"/>
      <c r="E70" s="253"/>
      <c r="F70" s="252">
        <v>68775.92</v>
      </c>
      <c r="G70" s="8" t="s">
        <v>103</v>
      </c>
      <c r="H70" s="8"/>
      <c r="I70" s="8"/>
      <c r="J70" s="30"/>
      <c r="K70" s="30"/>
      <c r="L70" s="30"/>
      <c r="M70" s="30"/>
      <c r="N70" s="30"/>
    </row>
    <row r="71" ht="14.25" customHeight="1">
      <c r="A71" s="251"/>
      <c r="B71" s="251"/>
      <c r="C71" s="251"/>
      <c r="D71" s="251"/>
      <c r="E71" s="8"/>
      <c r="F71" s="254">
        <v>6257.76</v>
      </c>
      <c r="G71" s="8" t="s">
        <v>333</v>
      </c>
      <c r="H71" s="8"/>
      <c r="I71" s="8"/>
      <c r="J71" s="30"/>
      <c r="K71" s="30"/>
      <c r="L71" s="30"/>
      <c r="M71" s="30"/>
      <c r="N71" s="30"/>
    </row>
    <row r="72" ht="14.25" customHeight="1">
      <c r="A72" s="251"/>
      <c r="B72" s="251"/>
      <c r="C72" s="251"/>
      <c r="D72" s="251"/>
      <c r="E72" s="8"/>
      <c r="F72" s="258">
        <v>0.0</v>
      </c>
      <c r="G72" s="8" t="s">
        <v>334</v>
      </c>
      <c r="H72" s="8"/>
      <c r="I72" s="8"/>
      <c r="J72" s="30"/>
      <c r="K72" s="30"/>
      <c r="L72" s="30"/>
      <c r="M72" s="30"/>
      <c r="N72" s="30"/>
    </row>
    <row r="73" ht="14.25" customHeight="1">
      <c r="A73" s="251"/>
      <c r="B73" s="251"/>
      <c r="C73" s="251"/>
      <c r="D73" s="251"/>
      <c r="E73" s="8"/>
      <c r="F73" s="258">
        <v>0.0</v>
      </c>
      <c r="G73" s="8" t="s">
        <v>338</v>
      </c>
      <c r="H73" s="8"/>
      <c r="I73" s="8"/>
      <c r="J73" s="30"/>
      <c r="K73" s="30"/>
      <c r="L73" s="30"/>
      <c r="M73" s="30"/>
      <c r="N73" s="30"/>
    </row>
    <row r="74" ht="14.25" customHeight="1">
      <c r="A74" s="251"/>
      <c r="B74" s="251"/>
      <c r="C74" s="251"/>
      <c r="D74" s="251"/>
      <c r="E74" s="8"/>
      <c r="F74" s="258">
        <v>0.0</v>
      </c>
      <c r="G74" s="8" t="s">
        <v>127</v>
      </c>
      <c r="H74" s="8"/>
      <c r="I74" s="8"/>
      <c r="J74" s="30"/>
      <c r="K74" s="30"/>
      <c r="L74" s="30"/>
      <c r="M74" s="30"/>
      <c r="N74" s="30"/>
    </row>
    <row r="75" ht="14.25" customHeight="1">
      <c r="A75" s="251"/>
      <c r="B75" s="251"/>
      <c r="C75" s="251"/>
      <c r="D75" s="251"/>
      <c r="E75" s="8"/>
      <c r="F75" s="258">
        <v>0.0</v>
      </c>
      <c r="G75" s="8" t="s">
        <v>342</v>
      </c>
      <c r="H75" s="8"/>
      <c r="I75" s="8"/>
      <c r="J75" s="30"/>
      <c r="K75" s="30"/>
      <c r="L75" s="30"/>
      <c r="M75" s="30"/>
      <c r="N75" s="30"/>
    </row>
    <row r="76" ht="14.25" customHeight="1">
      <c r="A76" s="251"/>
      <c r="B76" s="251"/>
      <c r="C76" s="251"/>
      <c r="D76" s="251"/>
      <c r="E76" s="8"/>
      <c r="F76" s="258">
        <v>0.0</v>
      </c>
      <c r="G76" s="8" t="s">
        <v>120</v>
      </c>
      <c r="H76" s="8"/>
      <c r="I76" s="8"/>
      <c r="J76" s="30"/>
      <c r="K76" s="30"/>
      <c r="L76" s="30"/>
      <c r="M76" s="30"/>
      <c r="N76" s="30"/>
    </row>
    <row r="77" ht="14.25" customHeight="1">
      <c r="A77" s="251"/>
      <c r="B77" s="262" t="s">
        <v>348</v>
      </c>
      <c r="C77" s="13"/>
      <c r="D77" s="250"/>
      <c r="E77" s="250"/>
      <c r="F77" s="263">
        <f>SUM(F67:F76)</f>
        <v>694407.63</v>
      </c>
      <c r="G77" s="8"/>
      <c r="H77" s="8"/>
      <c r="I77" s="30"/>
      <c r="J77" s="264"/>
      <c r="K77" s="30"/>
      <c r="L77" s="30"/>
      <c r="M77" s="30"/>
      <c r="N77" s="30"/>
    </row>
    <row r="78" ht="14.25" customHeight="1">
      <c r="A78" s="251"/>
      <c r="B78" s="266" t="s">
        <v>353</v>
      </c>
      <c r="C78" s="13"/>
      <c r="D78" s="268"/>
      <c r="E78" s="268"/>
      <c r="F78" s="269">
        <v>0.0</v>
      </c>
      <c r="G78" s="8"/>
      <c r="H78" s="8"/>
      <c r="I78" s="30"/>
      <c r="J78" s="30"/>
      <c r="K78" s="30"/>
      <c r="L78" s="30"/>
      <c r="M78" s="30"/>
      <c r="N78" s="30"/>
    </row>
    <row r="79" ht="14.25" customHeight="1">
      <c r="A79" s="8"/>
      <c r="B79" s="8"/>
      <c r="C79" s="8"/>
      <c r="D79" s="8"/>
      <c r="E79" s="270" t="s">
        <v>357</v>
      </c>
      <c r="F79" s="271">
        <f>F77-F78</f>
        <v>694407.63</v>
      </c>
      <c r="G79" s="272"/>
      <c r="H79" s="125"/>
      <c r="I79" s="30"/>
      <c r="J79" s="30"/>
      <c r="K79" s="30"/>
      <c r="L79" s="30"/>
      <c r="M79" s="30"/>
      <c r="N79" s="30"/>
    </row>
    <row r="80" ht="14.25" customHeight="1">
      <c r="A80" s="8"/>
      <c r="B80" s="273" t="s">
        <v>361</v>
      </c>
      <c r="G80" s="86"/>
      <c r="H80" s="30"/>
      <c r="I80" s="30"/>
      <c r="J80" s="119"/>
      <c r="K80" s="30"/>
      <c r="L80" s="30"/>
      <c r="M80" s="30"/>
      <c r="N80" s="30"/>
    </row>
    <row r="81" ht="14.25" customHeight="1">
      <c r="A81" s="8"/>
      <c r="B81" s="274"/>
      <c r="C81" s="274"/>
      <c r="D81" s="274"/>
      <c r="E81" s="274"/>
      <c r="F81" s="274"/>
      <c r="G81" s="125"/>
      <c r="H81" s="30"/>
      <c r="I81" s="30"/>
      <c r="J81" s="30"/>
      <c r="K81" s="47"/>
      <c r="L81" s="30"/>
      <c r="M81" s="30"/>
      <c r="N81" s="30"/>
    </row>
    <row r="82" ht="23.25" customHeight="1">
      <c r="A82" s="275" t="s">
        <v>365</v>
      </c>
      <c r="B82" s="276"/>
      <c r="C82" s="277"/>
      <c r="D82" s="278">
        <f>F91</f>
        <v>386416.43</v>
      </c>
      <c r="E82" s="279"/>
      <c r="F82" s="279"/>
      <c r="G82" s="8"/>
      <c r="H82" s="30"/>
      <c r="I82" s="30"/>
      <c r="J82" s="30"/>
      <c r="K82" s="30"/>
      <c r="L82" s="30"/>
      <c r="M82" s="30"/>
      <c r="N82" s="30"/>
    </row>
    <row r="83" ht="18.0" customHeight="1">
      <c r="A83" s="280" t="s">
        <v>369</v>
      </c>
      <c r="B83" s="281"/>
      <c r="C83" s="282"/>
      <c r="D83" s="283"/>
      <c r="E83" s="284"/>
      <c r="F83" s="284"/>
      <c r="G83" s="8"/>
      <c r="H83" s="30"/>
      <c r="I83" s="47"/>
      <c r="J83" s="30"/>
      <c r="K83" s="30"/>
      <c r="L83" s="30"/>
      <c r="M83" s="30"/>
      <c r="N83" s="30"/>
    </row>
    <row r="84" ht="18.0" customHeight="1">
      <c r="A84" s="275" t="s">
        <v>373</v>
      </c>
      <c r="B84" s="276"/>
      <c r="C84" s="277"/>
      <c r="D84" s="283"/>
      <c r="E84" s="284"/>
      <c r="F84" s="285"/>
      <c r="G84" s="8"/>
      <c r="H84" s="8"/>
      <c r="I84" s="8"/>
      <c r="J84" s="30"/>
      <c r="K84" s="30"/>
      <c r="L84" s="30"/>
      <c r="M84" s="30"/>
      <c r="N84" s="30"/>
    </row>
    <row r="85" ht="18.0" customHeight="1">
      <c r="A85" s="283"/>
      <c r="D85" s="283"/>
      <c r="E85" s="253"/>
      <c r="F85" s="253"/>
      <c r="G85" s="8"/>
      <c r="H85" s="8"/>
      <c r="I85" s="8"/>
      <c r="J85" s="30"/>
      <c r="K85" s="30"/>
      <c r="L85" s="30"/>
      <c r="M85" s="30"/>
      <c r="N85" s="30"/>
    </row>
    <row r="86" ht="36.0" customHeight="1">
      <c r="A86" s="286" t="s">
        <v>377</v>
      </c>
      <c r="B86" s="12"/>
      <c r="C86" s="13"/>
      <c r="D86" s="288"/>
      <c r="E86" s="251"/>
      <c r="F86" s="290" t="s">
        <v>315</v>
      </c>
      <c r="G86" s="8"/>
      <c r="H86" s="30"/>
      <c r="I86" s="8"/>
      <c r="J86" s="8"/>
      <c r="K86" s="8"/>
      <c r="L86" s="30"/>
      <c r="M86" s="8"/>
      <c r="N86" s="47"/>
    </row>
    <row r="87" ht="14.25" customHeight="1">
      <c r="A87" s="8"/>
      <c r="B87" s="8" t="s">
        <v>378</v>
      </c>
      <c r="C87" s="125"/>
      <c r="D87" s="125"/>
      <c r="E87" s="8"/>
      <c r="F87" s="293">
        <f>H30+H44</f>
        <v>386416.43</v>
      </c>
      <c r="G87" s="8"/>
      <c r="H87" s="8"/>
      <c r="I87" s="8"/>
      <c r="J87" s="8"/>
      <c r="K87" s="8"/>
      <c r="L87" s="47"/>
      <c r="M87" s="8"/>
      <c r="N87" s="47"/>
    </row>
    <row r="88" ht="14.25" customHeight="1">
      <c r="A88" s="8"/>
      <c r="B88" s="247" t="s">
        <v>381</v>
      </c>
      <c r="C88" s="125"/>
      <c r="D88" s="125"/>
      <c r="E88" s="8"/>
      <c r="F88" s="293">
        <f>H8+H10+H18+H39+H40</f>
        <v>0</v>
      </c>
      <c r="G88" s="8"/>
      <c r="H88" s="8"/>
      <c r="I88" s="8"/>
      <c r="J88" s="8"/>
      <c r="K88" s="8"/>
      <c r="L88" s="8"/>
      <c r="M88" s="8"/>
      <c r="N88" s="47"/>
    </row>
    <row r="89" ht="14.25" customHeight="1">
      <c r="A89" s="297"/>
      <c r="B89" s="8" t="s">
        <v>384</v>
      </c>
      <c r="C89" s="125"/>
      <c r="D89" s="125"/>
      <c r="E89" s="8"/>
      <c r="F89" s="293"/>
      <c r="G89" s="8"/>
      <c r="H89" s="8"/>
      <c r="I89" s="8"/>
      <c r="J89" s="8"/>
      <c r="K89" s="8"/>
      <c r="L89" s="8"/>
      <c r="M89" s="8"/>
      <c r="N89" s="8"/>
    </row>
    <row r="90" ht="14.25" customHeight="1">
      <c r="A90" s="8"/>
      <c r="B90" s="8"/>
      <c r="C90" s="300"/>
      <c r="D90" s="300"/>
      <c r="E90" s="8"/>
      <c r="F90" s="302"/>
      <c r="G90" s="8"/>
      <c r="H90" s="8"/>
      <c r="I90" s="8"/>
      <c r="J90" s="8"/>
      <c r="K90" s="8"/>
      <c r="L90" s="8"/>
      <c r="M90" s="8"/>
      <c r="N90" s="8"/>
    </row>
    <row r="91" ht="14.25" customHeight="1">
      <c r="A91" s="8"/>
      <c r="B91" s="8"/>
      <c r="C91" s="8"/>
      <c r="D91" s="8"/>
      <c r="E91" s="8"/>
      <c r="F91" s="43">
        <f>F87-(F88+F89)</f>
        <v>386416.43</v>
      </c>
      <c r="G91" s="8"/>
      <c r="H91" s="8"/>
      <c r="I91" s="8"/>
      <c r="J91" s="8"/>
      <c r="K91" s="8"/>
      <c r="L91" s="8"/>
      <c r="M91" s="8"/>
      <c r="N91" s="8"/>
    </row>
    <row r="92" ht="14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ht="14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ht="14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ht="14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ht="14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ht="14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ht="14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ht="14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ht="14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ht="14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ht="14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ht="14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ht="14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ht="14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ht="14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ht="14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ht="14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ht="14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ht="14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ht="14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ht="14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ht="14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ht="14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ht="14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ht="14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ht="14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ht="14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ht="14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ht="14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ht="14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ht="14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ht="14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ht="14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ht="14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ht="14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ht="14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ht="14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ht="14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ht="14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ht="14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ht="14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ht="14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ht="14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ht="14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ht="14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ht="14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ht="14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ht="14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ht="14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ht="14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ht="14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ht="14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ht="14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 ht="14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ht="14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ht="14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ht="14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ht="14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ht="14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ht="14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ht="14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ht="14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ht="14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ht="14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ht="14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</row>
    <row r="159" ht="14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ht="14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</row>
    <row r="161" ht="14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ht="14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ht="14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ht="14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ht="14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ht="14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ht="14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 ht="14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ht="14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ht="14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ht="14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 ht="14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 ht="14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ht="14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ht="14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ht="14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ht="14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ht="14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  <row r="181" ht="14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</row>
    <row r="183" ht="14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ht="14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 ht="14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ht="14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ht="14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ht="14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</row>
    <row r="189" ht="14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 ht="14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ht="14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</row>
    <row r="193" ht="14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ht="14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ht="14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ht="14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r="197" ht="14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</row>
    <row r="199" ht="14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ht="14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</row>
    <row r="201" ht="14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ht="14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 ht="14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ht="14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 ht="14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ht="14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</row>
    <row r="207" ht="14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 ht="14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</row>
    <row r="209" ht="14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ht="14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</row>
    <row r="211" ht="14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ht="14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</row>
    <row r="213" ht="14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ht="14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</row>
    <row r="215" ht="14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ht="14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</row>
    <row r="217" ht="14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 ht="14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 ht="14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</row>
    <row r="221" ht="14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</row>
    <row r="222" ht="14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</row>
    <row r="223" ht="14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ht="14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 ht="14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ht="14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</row>
    <row r="227" ht="14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</row>
    <row r="228" ht="14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</row>
    <row r="229" ht="14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ht="14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</row>
    <row r="231" ht="14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ht="14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</row>
    <row r="233" ht="14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</row>
    <row r="234" ht="14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</row>
    <row r="235" ht="14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</row>
    <row r="236" ht="14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</row>
    <row r="237" ht="14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 ht="14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</row>
    <row r="239" ht="14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ht="14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</row>
    <row r="241" ht="14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ht="14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</row>
    <row r="243" ht="14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ht="14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</row>
    <row r="245" ht="14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ht="14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</row>
    <row r="247" ht="14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 ht="14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</row>
    <row r="249" ht="14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</row>
    <row r="250" ht="14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</row>
    <row r="251" ht="14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 ht="14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</row>
    <row r="253" ht="14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 ht="14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</row>
    <row r="255" ht="14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</row>
    <row r="256" ht="14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</row>
    <row r="257" ht="14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ht="14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</row>
    <row r="259" ht="14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ht="14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</row>
    <row r="261" ht="14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 ht="14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</row>
    <row r="263" ht="14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ht="14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</row>
    <row r="265" ht="14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ht="14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</row>
    <row r="267" ht="14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ht="14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</row>
    <row r="269" ht="14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ht="14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</row>
    <row r="271" ht="14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</row>
    <row r="272" ht="14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</row>
    <row r="273" ht="14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</row>
    <row r="274" ht="14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</row>
    <row r="275" ht="14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</row>
    <row r="276" ht="14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</row>
    <row r="277" ht="14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</row>
    <row r="278" ht="14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</row>
    <row r="279" ht="14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</row>
    <row r="280" ht="14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</row>
    <row r="281" ht="14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</row>
    <row r="282" ht="14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</row>
    <row r="283" ht="14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</row>
    <row r="284" ht="14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 ht="14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</row>
    <row r="286" ht="14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</row>
    <row r="287" ht="14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</row>
    <row r="288" ht="14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</row>
    <row r="289" ht="14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</row>
    <row r="290" ht="14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</row>
    <row r="291" ht="14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</row>
    <row r="292" ht="14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</row>
    <row r="293" ht="14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</row>
    <row r="294" ht="14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</row>
    <row r="295" ht="14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</row>
    <row r="296" ht="14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</row>
    <row r="297" ht="14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</row>
    <row r="298" ht="14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</row>
    <row r="299" ht="14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</row>
    <row r="300" ht="14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</row>
    <row r="301" ht="14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</row>
    <row r="302" ht="14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</row>
    <row r="303" ht="14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</row>
    <row r="304" ht="14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</row>
    <row r="305" ht="14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</row>
    <row r="306" ht="14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</row>
    <row r="307" ht="14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</row>
    <row r="308" ht="14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</row>
    <row r="309" ht="14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</row>
    <row r="310" ht="14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</row>
    <row r="311" ht="14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</row>
    <row r="312" ht="14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</row>
    <row r="313" ht="14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</row>
    <row r="314" ht="14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</row>
    <row r="315" ht="14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</row>
    <row r="316" ht="14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</row>
    <row r="317" ht="14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</row>
    <row r="318" ht="14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</row>
    <row r="319" ht="14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</row>
    <row r="320" ht="14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</row>
    <row r="321" ht="14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</row>
    <row r="322" ht="14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</row>
    <row r="323" ht="14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</row>
    <row r="324" ht="14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</row>
    <row r="325" ht="14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</row>
    <row r="326" ht="14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</row>
    <row r="327" ht="14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</row>
    <row r="328" ht="14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</row>
    <row r="329" ht="14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</row>
    <row r="330" ht="14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</row>
    <row r="331" ht="14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</row>
    <row r="332" ht="14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</row>
    <row r="333" ht="14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</row>
    <row r="334" ht="14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</row>
    <row r="335" ht="14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</row>
    <row r="336" ht="14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</row>
    <row r="337" ht="14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</row>
    <row r="338" ht="14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</row>
    <row r="339" ht="14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</row>
    <row r="340" ht="14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</row>
    <row r="341" ht="14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</row>
    <row r="342" ht="14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</row>
    <row r="343" ht="14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</row>
    <row r="344" ht="14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</row>
    <row r="345" ht="14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</row>
    <row r="346" ht="14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</row>
    <row r="347" ht="14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</row>
    <row r="348" ht="14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</row>
    <row r="349" ht="14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</row>
    <row r="350" ht="14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</row>
    <row r="351" ht="14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</row>
    <row r="352" ht="14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</row>
    <row r="353" ht="14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</row>
    <row r="354" ht="14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</row>
    <row r="355" ht="14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</row>
    <row r="356" ht="14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</row>
    <row r="357" ht="14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</row>
    <row r="358" ht="14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</row>
    <row r="359" ht="14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</row>
    <row r="360" ht="14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</row>
    <row r="361" ht="14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</row>
    <row r="362" ht="14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</row>
    <row r="363" ht="14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</row>
    <row r="364" ht="14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</row>
    <row r="365" ht="14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</row>
    <row r="366" ht="14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</row>
    <row r="367" ht="14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</row>
    <row r="368" ht="14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</row>
    <row r="369" ht="14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</row>
    <row r="370" ht="14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</row>
    <row r="371" ht="14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</row>
    <row r="372" ht="14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</row>
    <row r="373" ht="14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</row>
    <row r="374" ht="14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</row>
    <row r="375" ht="14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</row>
    <row r="376" ht="14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</row>
    <row r="377" ht="14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</row>
    <row r="378" ht="14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</row>
    <row r="379" ht="14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 ht="14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ht="14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ht="14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ht="14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ht="14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ht="14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ht="14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ht="14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ht="14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ht="14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ht="14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ht="14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ht="14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ht="14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ht="14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ht="14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ht="14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ht="14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ht="14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ht="14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ht="14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ht="14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ht="14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ht="14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ht="14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ht="14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ht="14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ht="14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ht="14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ht="14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ht="14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ht="14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ht="14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ht="14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ht="14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ht="14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ht="14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ht="14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ht="14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ht="14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ht="14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ht="14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ht="14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ht="14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ht="14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ht="14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ht="14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ht="14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ht="14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ht="14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ht="14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ht="14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ht="14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ht="14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ht="14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ht="14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ht="14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ht="14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ht="14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ht="14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ht="14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ht="14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ht="14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ht="14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ht="14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ht="14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ht="14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ht="14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ht="14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ht="14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ht="14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ht="14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ht="14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ht="14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ht="14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ht="14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ht="14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ht="14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ht="14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ht="14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ht="14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ht="14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ht="14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ht="14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ht="14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ht="14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ht="14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ht="14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ht="14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ht="14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ht="14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ht="14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ht="14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ht="14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ht="14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ht="14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ht="14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ht="14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ht="14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ht="14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ht="14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ht="14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ht="14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ht="14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ht="14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ht="14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ht="14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ht="14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ht="14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ht="14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ht="14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ht="14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ht="14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ht="14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ht="14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ht="14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ht="14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ht="14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ht="14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ht="14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ht="14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ht="14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ht="14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ht="14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ht="14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ht="14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ht="14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ht="14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ht="14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ht="14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ht="14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ht="14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ht="14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ht="14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ht="14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ht="14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ht="14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ht="14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ht="14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ht="14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ht="14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ht="14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ht="14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ht="14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  <row r="524" ht="14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</row>
    <row r="525" ht="14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</row>
    <row r="526" ht="14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</row>
    <row r="527" ht="14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</row>
    <row r="528" ht="14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</row>
    <row r="529" ht="14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</row>
    <row r="530" ht="14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</row>
    <row r="531" ht="14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</row>
    <row r="532" ht="14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</row>
    <row r="533" ht="14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</row>
    <row r="534" ht="14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</row>
    <row r="535" ht="14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</row>
    <row r="536" ht="14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</row>
    <row r="537" ht="14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</row>
    <row r="538" ht="14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</row>
    <row r="539" ht="14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</row>
    <row r="540" ht="14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</row>
    <row r="541" ht="14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</row>
    <row r="542" ht="14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</row>
    <row r="543" ht="14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</row>
    <row r="544" ht="14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</row>
    <row r="545" ht="14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</row>
    <row r="546" ht="14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</row>
    <row r="547" ht="14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</row>
    <row r="548" ht="14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</row>
    <row r="549" ht="14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</row>
    <row r="550" ht="14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</row>
    <row r="551" ht="14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</row>
    <row r="552" ht="14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</row>
    <row r="553" ht="14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</row>
    <row r="554" ht="14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</row>
    <row r="555" ht="14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</row>
    <row r="556" ht="14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</row>
    <row r="557" ht="14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</row>
    <row r="558" ht="14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</row>
    <row r="559" ht="14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</row>
    <row r="560" ht="14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</row>
    <row r="561" ht="14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</row>
    <row r="562" ht="14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</row>
    <row r="563" ht="14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</row>
    <row r="564" ht="14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</row>
    <row r="565" ht="14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</row>
    <row r="566" ht="14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</row>
    <row r="567" ht="14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</row>
    <row r="568" ht="14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</row>
    <row r="569" ht="14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</row>
    <row r="570" ht="14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</row>
    <row r="571" ht="14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</row>
    <row r="572" ht="14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</row>
    <row r="573" ht="14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</row>
    <row r="574" ht="14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</row>
    <row r="575" ht="14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</row>
    <row r="576" ht="14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</row>
    <row r="577" ht="14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</row>
    <row r="578" ht="14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</row>
    <row r="579" ht="14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</row>
    <row r="580" ht="14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</row>
    <row r="581" ht="14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</row>
    <row r="582" ht="14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</row>
    <row r="583" ht="14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</row>
    <row r="584" ht="14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</row>
    <row r="585" ht="14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</row>
    <row r="586" ht="14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</row>
    <row r="587" ht="14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</row>
    <row r="588" ht="14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</row>
    <row r="589" ht="14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</row>
    <row r="590" ht="14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</row>
    <row r="591" ht="14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</row>
    <row r="592" ht="14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</row>
    <row r="593" ht="14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</row>
    <row r="594" ht="14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</row>
    <row r="595" ht="14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</row>
    <row r="596" ht="14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</row>
    <row r="597" ht="14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</row>
    <row r="598" ht="14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</row>
    <row r="599" ht="14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</row>
    <row r="600" ht="14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</row>
    <row r="601" ht="14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</row>
    <row r="602" ht="14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</row>
    <row r="603" ht="14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</row>
    <row r="604" ht="14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</row>
    <row r="605" ht="14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</row>
    <row r="606" ht="14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</row>
    <row r="607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</row>
    <row r="608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</row>
    <row r="609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</row>
    <row r="610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</row>
    <row r="611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</row>
    <row r="612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</row>
    <row r="613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</row>
    <row r="614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</row>
    <row r="615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</row>
    <row r="616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</row>
    <row r="617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</row>
    <row r="618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</row>
    <row r="619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</row>
    <row r="620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</row>
    <row r="621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</row>
    <row r="622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</row>
    <row r="623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</row>
    <row r="624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</row>
    <row r="625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</row>
    <row r="626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</row>
    <row r="627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</row>
    <row r="628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</row>
    <row r="629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</row>
    <row r="630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</row>
    <row r="631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</row>
    <row r="632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</row>
    <row r="633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</row>
    <row r="634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</row>
    <row r="635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</row>
    <row r="636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</row>
    <row r="637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</row>
    <row r="638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</row>
    <row r="639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</row>
    <row r="640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</row>
    <row r="641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</row>
    <row r="642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</row>
    <row r="643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</row>
    <row r="644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</row>
    <row r="645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</row>
    <row r="646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</row>
    <row r="647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</row>
    <row r="648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</row>
    <row r="649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</row>
    <row r="650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</row>
    <row r="651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</row>
    <row r="652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</row>
    <row r="653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</row>
    <row r="654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</row>
    <row r="655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</row>
    <row r="656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</row>
    <row r="657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</row>
    <row r="658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</row>
    <row r="659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</row>
    <row r="660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</row>
    <row r="661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</row>
    <row r="662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</row>
    <row r="663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</row>
    <row r="664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</row>
    <row r="665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</row>
    <row r="666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</row>
    <row r="667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</row>
    <row r="668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</row>
    <row r="669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</row>
    <row r="670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</row>
    <row r="671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</row>
    <row r="672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</row>
    <row r="673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</row>
    <row r="674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</row>
    <row r="675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</row>
    <row r="676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</row>
    <row r="677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</row>
    <row r="678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</row>
    <row r="679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</row>
    <row r="680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</row>
    <row r="681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</row>
    <row r="682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</row>
    <row r="683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</row>
    <row r="684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</row>
    <row r="685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</row>
    <row r="686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</row>
    <row r="687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</row>
    <row r="688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</row>
    <row r="689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</row>
    <row r="690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</row>
    <row r="691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</row>
    <row r="692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</row>
    <row r="693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</row>
    <row r="694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</row>
    <row r="695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</row>
    <row r="696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</row>
    <row r="697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</row>
    <row r="698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</row>
    <row r="699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</row>
    <row r="700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</row>
    <row r="701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</row>
    <row r="702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</row>
    <row r="703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</row>
    <row r="704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</row>
    <row r="705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</row>
    <row r="706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</row>
    <row r="707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</row>
    <row r="708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</row>
    <row r="709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</row>
    <row r="710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</row>
    <row r="711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</row>
    <row r="712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</row>
    <row r="713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</row>
    <row r="714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</row>
    <row r="715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</row>
    <row r="716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</row>
    <row r="717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</row>
    <row r="718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</row>
    <row r="719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</row>
    <row r="720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</row>
    <row r="721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</row>
    <row r="722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</row>
    <row r="723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</row>
    <row r="724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</row>
    <row r="725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</row>
    <row r="726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</row>
    <row r="727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</row>
    <row r="728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</row>
    <row r="729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</row>
    <row r="730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</row>
    <row r="731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</row>
    <row r="732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</row>
    <row r="733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</row>
    <row r="734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</row>
    <row r="735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</row>
    <row r="736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</row>
    <row r="737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</row>
    <row r="738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</row>
    <row r="739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</row>
    <row r="740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</row>
    <row r="741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</row>
    <row r="742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</row>
    <row r="743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</row>
    <row r="744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</row>
    <row r="745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</row>
    <row r="746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</row>
    <row r="747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</row>
    <row r="748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</row>
    <row r="749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</row>
    <row r="750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</row>
    <row r="751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</row>
    <row r="752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</row>
    <row r="753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</row>
    <row r="754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</row>
    <row r="755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</row>
    <row r="756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</row>
    <row r="757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</row>
    <row r="758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</row>
    <row r="759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</row>
    <row r="760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</row>
    <row r="761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</row>
    <row r="762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</row>
    <row r="763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</row>
    <row r="764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</row>
    <row r="765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</row>
    <row r="766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</row>
    <row r="767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</row>
    <row r="768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</row>
    <row r="769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</row>
    <row r="770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</row>
    <row r="771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</row>
    <row r="772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</row>
    <row r="773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</row>
    <row r="774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</row>
    <row r="775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</row>
    <row r="776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</row>
    <row r="777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</row>
    <row r="778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</row>
    <row r="779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</row>
    <row r="780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</row>
    <row r="781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</row>
    <row r="782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</row>
    <row r="783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</row>
    <row r="784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</row>
    <row r="785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</row>
    <row r="786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</row>
    <row r="787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</row>
    <row r="788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</row>
    <row r="789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</row>
    <row r="790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</row>
    <row r="791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</row>
    <row r="792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</row>
    <row r="793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</row>
    <row r="794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</row>
    <row r="795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</row>
    <row r="796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</row>
    <row r="797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</row>
    <row r="798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</row>
    <row r="799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</row>
    <row r="800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</row>
    <row r="801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</row>
    <row r="802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</row>
    <row r="803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</row>
    <row r="804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</row>
    <row r="805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</row>
    <row r="806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</row>
    <row r="807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</row>
    <row r="808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</row>
    <row r="809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</row>
    <row r="810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</row>
    <row r="811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</row>
    <row r="812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</row>
    <row r="813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</row>
    <row r="814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</row>
    <row r="815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</row>
    <row r="816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</row>
    <row r="817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</row>
    <row r="818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</row>
    <row r="819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</row>
    <row r="820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</row>
    <row r="821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</row>
    <row r="822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</row>
    <row r="823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</row>
    <row r="824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</row>
    <row r="825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</row>
    <row r="826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</row>
    <row r="827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</row>
    <row r="828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</row>
    <row r="829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</row>
    <row r="830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</row>
    <row r="831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</row>
    <row r="832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</row>
    <row r="833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</row>
    <row r="834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</row>
    <row r="835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</row>
    <row r="836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</row>
    <row r="837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</row>
    <row r="838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</row>
    <row r="839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</row>
    <row r="840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</row>
    <row r="841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</row>
    <row r="842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</row>
    <row r="843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</row>
    <row r="844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</row>
    <row r="845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</row>
    <row r="846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</row>
    <row r="847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</row>
    <row r="848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</row>
    <row r="849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</row>
    <row r="850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</row>
    <row r="851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</row>
    <row r="852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</row>
    <row r="853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</row>
    <row r="854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</row>
    <row r="855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</row>
    <row r="856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</row>
    <row r="857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</row>
    <row r="858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</row>
    <row r="859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</row>
    <row r="860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</row>
    <row r="861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</row>
    <row r="862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</row>
    <row r="863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</row>
    <row r="864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</row>
    <row r="865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</row>
    <row r="866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</row>
    <row r="867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</row>
    <row r="868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</row>
    <row r="869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</row>
    <row r="870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</row>
    <row r="871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</row>
    <row r="872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</row>
    <row r="873" ht="14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</row>
    <row r="874" ht="14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</row>
    <row r="875" ht="14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</row>
    <row r="876" ht="14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</row>
    <row r="877" ht="14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</row>
    <row r="878" ht="14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</row>
    <row r="879" ht="14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</row>
    <row r="880" ht="14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</row>
    <row r="881" ht="14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</row>
    <row r="882" ht="14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</row>
    <row r="883" ht="14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</row>
    <row r="884" ht="14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</row>
    <row r="885" ht="14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</row>
    <row r="886" ht="14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</row>
    <row r="887" ht="14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</row>
    <row r="888" ht="14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</row>
    <row r="889" ht="14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</row>
    <row r="890" ht="14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</row>
    <row r="891" ht="14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</row>
    <row r="892" ht="14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</row>
    <row r="893" ht="14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</row>
    <row r="894" ht="14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</row>
    <row r="895" ht="14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</row>
    <row r="896" ht="14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</row>
    <row r="897" ht="14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</row>
    <row r="898" ht="14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</row>
    <row r="899" ht="14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</row>
    <row r="900" ht="14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</row>
    <row r="901" ht="14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</row>
    <row r="902" ht="14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</row>
    <row r="903" ht="14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</row>
    <row r="904" ht="14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</row>
    <row r="905" ht="14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</row>
    <row r="906" ht="14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</row>
    <row r="907" ht="14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</row>
    <row r="908" ht="14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</row>
    <row r="909" ht="14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</row>
    <row r="910" ht="14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</row>
    <row r="911" ht="14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</row>
    <row r="912" ht="14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</row>
    <row r="913" ht="14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</row>
    <row r="914" ht="14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</row>
    <row r="915" ht="14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</row>
    <row r="916" ht="14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</row>
    <row r="917" ht="14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</row>
    <row r="918" ht="14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</row>
    <row r="919" ht="14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</row>
    <row r="920" ht="14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</row>
    <row r="921" ht="14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</row>
    <row r="922" ht="14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</row>
    <row r="923" ht="14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</row>
    <row r="924" ht="14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</row>
    <row r="925" ht="14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</row>
    <row r="926" ht="14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</row>
    <row r="927" ht="14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</row>
    <row r="928" ht="14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</row>
    <row r="929" ht="14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</row>
    <row r="930" ht="14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</row>
    <row r="931" ht="14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</row>
    <row r="932" ht="14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</row>
    <row r="933" ht="14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</row>
    <row r="934" ht="14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</row>
    <row r="935" ht="14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</row>
    <row r="936" ht="14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</row>
    <row r="937" ht="14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</row>
    <row r="938" ht="14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</row>
    <row r="939" ht="14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</row>
    <row r="940" ht="14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</row>
    <row r="941" ht="14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</row>
    <row r="942" ht="14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</row>
    <row r="943" ht="14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</row>
    <row r="944" ht="14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</row>
    <row r="945" ht="14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</row>
    <row r="946" ht="14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</row>
    <row r="947" ht="14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</row>
    <row r="948" ht="14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</row>
    <row r="949" ht="14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</row>
    <row r="950" ht="14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</row>
    <row r="951" ht="14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</row>
    <row r="952" ht="14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</row>
    <row r="953" ht="14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</row>
    <row r="954" ht="14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</row>
    <row r="955" ht="14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</row>
    <row r="956" ht="14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</row>
    <row r="957" ht="14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</row>
    <row r="958" ht="14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</row>
    <row r="959" ht="14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</row>
    <row r="960" ht="14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</row>
    <row r="961" ht="14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</row>
    <row r="962" ht="14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</row>
    <row r="963" ht="14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</row>
    <row r="964" ht="14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</row>
    <row r="965" ht="14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</row>
    <row r="966" ht="14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</row>
    <row r="967" ht="14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</row>
    <row r="968" ht="14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</row>
    <row r="969" ht="14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</row>
    <row r="970" ht="14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</row>
    <row r="971" ht="14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</row>
    <row r="972" ht="14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</row>
    <row r="973" ht="14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</row>
    <row r="974" ht="14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</row>
    <row r="975" ht="14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</row>
    <row r="976" ht="14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</row>
    <row r="977" ht="14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</row>
    <row r="978" ht="14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</row>
    <row r="979" ht="14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</row>
    <row r="980" ht="14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</row>
    <row r="981" ht="14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</row>
    <row r="982" ht="14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</row>
    <row r="983" ht="14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</row>
    <row r="984" ht="14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</row>
    <row r="985" ht="14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</row>
    <row r="986" ht="14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</row>
    <row r="987" ht="14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</row>
    <row r="988" ht="14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</row>
    <row r="989" ht="14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</row>
    <row r="990" ht="14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</row>
    <row r="991" ht="14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</row>
    <row r="992" ht="14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</row>
    <row r="993" ht="14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</row>
    <row r="994" ht="14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</row>
    <row r="995" ht="14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</row>
    <row r="996" ht="14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</row>
    <row r="997" ht="14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</row>
    <row r="998" ht="14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</row>
    <row r="999" ht="14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</row>
    <row r="1000" ht="14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</row>
  </sheetData>
  <mergeCells count="14">
    <mergeCell ref="B78:C78"/>
    <mergeCell ref="B80:F80"/>
    <mergeCell ref="A82:C82"/>
    <mergeCell ref="A83:C83"/>
    <mergeCell ref="A84:C84"/>
    <mergeCell ref="A85:C85"/>
    <mergeCell ref="A86:C86"/>
    <mergeCell ref="A3:F3"/>
    <mergeCell ref="F15:G15"/>
    <mergeCell ref="F30:G30"/>
    <mergeCell ref="F44:G44"/>
    <mergeCell ref="F58:G58"/>
    <mergeCell ref="A68:C68"/>
    <mergeCell ref="B77:C77"/>
  </mergeCells>
  <printOptions/>
  <pageMargins bottom="0.75" footer="0.0" header="0.0" left="0.25" right="0.25" top="0.75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1" width="11.71"/>
    <col customWidth="1" min="2" max="2" width="22.43"/>
    <col customWidth="1" min="3" max="3" width="25.29"/>
    <col customWidth="1" min="4" max="4" width="17.43"/>
    <col customWidth="1" min="5" max="5" width="30.0"/>
    <col customWidth="1" min="6" max="6" width="24.14"/>
    <col customWidth="1" min="7" max="7" width="28.14"/>
    <col customWidth="1" min="8" max="8" width="15.29"/>
    <col customWidth="1" min="9" max="9" width="13.29"/>
    <col customWidth="1" min="10" max="10" width="14.14"/>
    <col customWidth="1" min="11" max="11" width="13.29"/>
    <col customWidth="1" min="12" max="12" width="15.14"/>
    <col customWidth="1" min="13" max="14" width="11.43"/>
    <col customWidth="1" min="15" max="15" width="10.43"/>
    <col customWidth="1" min="16" max="16" width="11.43"/>
    <col customWidth="1" min="17" max="26" width="8.71"/>
  </cols>
  <sheetData>
    <row r="1" ht="18.0" customHeight="1">
      <c r="A1" s="8"/>
      <c r="B1" s="15" t="s">
        <v>16</v>
      </c>
      <c r="C1" s="12"/>
      <c r="D1" s="13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ht="15.0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ht="14.25" customHeight="1">
      <c r="A3" s="27" t="s">
        <v>35</v>
      </c>
      <c r="B3" s="28"/>
      <c r="C3" s="28"/>
      <c r="D3" s="29">
        <v>68692.72</v>
      </c>
      <c r="E3" s="30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ht="14.25" customHeight="1">
      <c r="A4" s="32" t="s">
        <v>37</v>
      </c>
      <c r="D4" s="33">
        <v>128490.03</v>
      </c>
      <c r="E4" s="30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ht="14.25" customHeight="1">
      <c r="A5" s="32" t="s">
        <v>38</v>
      </c>
      <c r="D5" s="33">
        <v>257926.4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ht="15.0" customHeight="1">
      <c r="A6" s="36" t="s">
        <v>43</v>
      </c>
      <c r="B6" s="8"/>
      <c r="C6" s="8"/>
      <c r="D6" s="33">
        <v>15920.25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ht="15.0" customHeight="1">
      <c r="A7" s="38" t="s">
        <v>44</v>
      </c>
      <c r="B7" s="39"/>
      <c r="C7" s="40"/>
      <c r="D7" s="42">
        <f>SUM(D3:D6)</f>
        <v>471029.4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ht="14.2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ht="14.25" customHeight="1">
      <c r="A9" s="8"/>
      <c r="B9" s="8"/>
      <c r="C9" s="8"/>
      <c r="D9" s="8"/>
      <c r="E9" s="8"/>
      <c r="F9" s="8"/>
      <c r="G9" s="43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ht="14.25" customHeight="1">
      <c r="A10" s="8"/>
      <c r="B10" s="8"/>
      <c r="C10" s="8"/>
      <c r="D10" s="8"/>
      <c r="E10" s="8"/>
      <c r="F10" s="8"/>
      <c r="G10" s="43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ht="14.25" customHeight="1">
      <c r="A11" s="45" t="s">
        <v>56</v>
      </c>
      <c r="B11" s="12"/>
      <c r="C11" s="12"/>
      <c r="D11" s="12"/>
      <c r="E11" s="12"/>
      <c r="F11" s="12"/>
      <c r="G11" s="13"/>
      <c r="H11" s="47"/>
      <c r="I11" s="47"/>
      <c r="J11" s="8"/>
      <c r="K11" s="8"/>
      <c r="L11" s="8"/>
      <c r="M11" s="8"/>
      <c r="N11" s="8"/>
      <c r="O11" s="8"/>
      <c r="P11" s="8"/>
      <c r="Q11" s="8"/>
      <c r="R11" s="8"/>
    </row>
    <row r="12" ht="15.0" customHeight="1">
      <c r="A12" s="8"/>
      <c r="B12" s="8"/>
      <c r="C12" s="8"/>
      <c r="D12" s="8"/>
      <c r="E12" s="8"/>
      <c r="F12" s="8" t="s">
        <v>52</v>
      </c>
      <c r="G12" s="8" t="s">
        <v>60</v>
      </c>
      <c r="H12" s="8" t="s">
        <v>61</v>
      </c>
      <c r="I12" s="47"/>
      <c r="J12" s="8"/>
      <c r="K12" s="8"/>
      <c r="L12" s="8"/>
      <c r="M12" s="8"/>
      <c r="N12" s="8"/>
      <c r="O12" s="8"/>
      <c r="P12" s="8"/>
      <c r="Q12" s="8"/>
      <c r="R12" s="8"/>
    </row>
    <row r="13" ht="30.0" customHeight="1">
      <c r="A13" s="51"/>
      <c r="B13" s="51" t="s">
        <v>65</v>
      </c>
      <c r="C13" s="51" t="s">
        <v>66</v>
      </c>
      <c r="D13" s="51" t="s">
        <v>67</v>
      </c>
      <c r="E13" s="51" t="s">
        <v>22</v>
      </c>
      <c r="F13" s="51" t="s">
        <v>68</v>
      </c>
      <c r="G13" s="51" t="s">
        <v>69</v>
      </c>
      <c r="H13" s="52" t="s">
        <v>70</v>
      </c>
      <c r="I13" s="52" t="s">
        <v>71</v>
      </c>
      <c r="J13" s="51" t="s">
        <v>72</v>
      </c>
      <c r="K13" s="8"/>
      <c r="L13" s="8"/>
      <c r="M13" s="8"/>
      <c r="N13" s="8"/>
      <c r="O13" s="8"/>
      <c r="P13" s="8"/>
      <c r="Q13" s="8"/>
      <c r="R13" s="8"/>
    </row>
    <row r="14" ht="37.5" customHeight="1">
      <c r="A14" s="53"/>
      <c r="B14" s="53" t="s">
        <v>76</v>
      </c>
      <c r="C14" s="54"/>
      <c r="D14" s="55">
        <v>164.0</v>
      </c>
      <c r="E14" s="56" t="s">
        <v>78</v>
      </c>
      <c r="F14" s="57">
        <v>9341.69</v>
      </c>
      <c r="G14" s="57">
        <v>0.0</v>
      </c>
      <c r="H14" s="58">
        <v>2421.75</v>
      </c>
      <c r="I14" s="59"/>
      <c r="J14" s="60"/>
      <c r="K14" s="30"/>
      <c r="L14" s="47"/>
      <c r="M14" s="8"/>
      <c r="N14" s="8"/>
      <c r="O14" s="8"/>
      <c r="P14" s="8"/>
      <c r="Q14" s="8"/>
      <c r="R14" s="8"/>
    </row>
    <row r="15" ht="37.5" customHeight="1">
      <c r="A15" s="53"/>
      <c r="B15" s="53" t="s">
        <v>76</v>
      </c>
      <c r="C15" s="54"/>
      <c r="D15" s="55">
        <v>164.0</v>
      </c>
      <c r="E15" s="56" t="s">
        <v>84</v>
      </c>
      <c r="F15" s="57">
        <v>624.12</v>
      </c>
      <c r="G15" s="57">
        <v>0.0</v>
      </c>
      <c r="H15" s="64">
        <v>70.62</v>
      </c>
      <c r="I15" s="59"/>
      <c r="J15" s="60"/>
      <c r="K15" s="30"/>
      <c r="L15" s="30"/>
      <c r="M15" s="47"/>
      <c r="N15" s="8"/>
      <c r="O15" s="8"/>
      <c r="P15" s="8"/>
      <c r="Q15" s="8"/>
      <c r="R15" s="8"/>
    </row>
    <row r="16" ht="27.0" customHeight="1">
      <c r="A16" s="53"/>
      <c r="B16" s="53" t="s">
        <v>76</v>
      </c>
      <c r="C16" s="54"/>
      <c r="D16" s="55">
        <v>70.0</v>
      </c>
      <c r="E16" s="56" t="s">
        <v>88</v>
      </c>
      <c r="F16" s="57">
        <v>3019.16</v>
      </c>
      <c r="G16" s="57">
        <v>0.0</v>
      </c>
      <c r="H16" s="67"/>
      <c r="I16" s="59"/>
      <c r="J16" s="60"/>
      <c r="K16" s="30"/>
      <c r="L16" s="30"/>
      <c r="M16" s="47"/>
      <c r="N16" s="8"/>
      <c r="O16" s="8"/>
      <c r="P16" s="8"/>
      <c r="Q16" s="8"/>
      <c r="R16" s="8"/>
    </row>
    <row r="17" ht="30.75" customHeight="1">
      <c r="A17" s="53"/>
      <c r="B17" s="53" t="s">
        <v>76</v>
      </c>
      <c r="C17" s="54"/>
      <c r="D17" s="55">
        <v>70.0</v>
      </c>
      <c r="E17" s="56" t="s">
        <v>94</v>
      </c>
      <c r="F17" s="57">
        <v>85.86</v>
      </c>
      <c r="G17" s="57">
        <v>0.0</v>
      </c>
      <c r="H17" s="67"/>
      <c r="I17" s="59"/>
      <c r="J17" s="71"/>
      <c r="K17" s="73"/>
      <c r="L17" s="30"/>
      <c r="M17" s="30"/>
      <c r="N17" s="8"/>
      <c r="O17" s="8"/>
      <c r="P17" s="8"/>
      <c r="Q17" s="8"/>
      <c r="R17" s="8"/>
    </row>
    <row r="18" ht="14.25" customHeight="1">
      <c r="A18" s="53"/>
      <c r="B18" s="53" t="s">
        <v>98</v>
      </c>
      <c r="C18" s="54" t="s">
        <v>99</v>
      </c>
      <c r="D18" s="80">
        <v>105.0</v>
      </c>
      <c r="E18" s="56" t="s">
        <v>103</v>
      </c>
      <c r="F18" s="57">
        <v>0.0</v>
      </c>
      <c r="G18" s="57">
        <v>22841.36</v>
      </c>
      <c r="H18" s="82"/>
      <c r="I18" s="59"/>
      <c r="J18" s="71"/>
      <c r="K18" s="30"/>
      <c r="L18" s="47"/>
      <c r="M18" s="8"/>
      <c r="N18" s="8"/>
      <c r="O18" s="8"/>
      <c r="P18" s="8"/>
      <c r="Q18" s="8"/>
      <c r="R18" s="8"/>
    </row>
    <row r="19" ht="14.25" customHeight="1">
      <c r="A19" s="53"/>
      <c r="B19" s="53" t="s">
        <v>98</v>
      </c>
      <c r="C19" s="54" t="s">
        <v>99</v>
      </c>
      <c r="D19" s="80">
        <v>105.0</v>
      </c>
      <c r="E19" s="56" t="s">
        <v>106</v>
      </c>
      <c r="F19" s="85"/>
      <c r="G19" s="57">
        <v>0.0</v>
      </c>
      <c r="H19" s="82"/>
      <c r="I19" s="59"/>
      <c r="J19" s="71"/>
      <c r="K19" s="30"/>
      <c r="L19" s="47"/>
      <c r="M19" s="8"/>
      <c r="N19" s="8"/>
      <c r="O19" s="8"/>
      <c r="P19" s="8"/>
      <c r="Q19" s="8"/>
      <c r="R19" s="8"/>
    </row>
    <row r="20" ht="14.25" customHeight="1">
      <c r="A20" s="88"/>
      <c r="B20" s="88" t="s">
        <v>108</v>
      </c>
      <c r="C20" s="90"/>
      <c r="D20" s="92"/>
      <c r="E20" s="93" t="s">
        <v>25</v>
      </c>
      <c r="F20" s="57">
        <v>21954.09</v>
      </c>
      <c r="G20" s="57">
        <v>15363.42</v>
      </c>
      <c r="H20" s="96">
        <v>4320.57</v>
      </c>
      <c r="I20" s="59"/>
      <c r="J20" s="71"/>
      <c r="K20" s="30"/>
      <c r="L20" s="30"/>
      <c r="M20" s="8"/>
      <c r="N20" s="8"/>
      <c r="O20" s="8"/>
      <c r="P20" s="8"/>
      <c r="Q20" s="8"/>
      <c r="R20" s="8"/>
    </row>
    <row r="21" ht="24.75" customHeight="1">
      <c r="A21" s="97"/>
      <c r="B21" s="97" t="s">
        <v>112</v>
      </c>
      <c r="C21" s="98" t="s">
        <v>113</v>
      </c>
      <c r="D21" s="99">
        <v>189.0</v>
      </c>
      <c r="E21" s="20" t="s">
        <v>114</v>
      </c>
      <c r="F21" s="57">
        <v>0.0</v>
      </c>
      <c r="G21" s="57">
        <v>0.0</v>
      </c>
      <c r="H21" s="82"/>
      <c r="I21" s="59"/>
      <c r="J21" s="71"/>
      <c r="K21" s="30"/>
      <c r="L21" s="30"/>
      <c r="M21" s="8"/>
      <c r="N21" s="8"/>
      <c r="O21" s="8"/>
      <c r="P21" s="8"/>
      <c r="Q21" s="8"/>
      <c r="R21" s="8"/>
    </row>
    <row r="22" ht="24.75" customHeight="1">
      <c r="A22" s="97"/>
      <c r="B22" s="97" t="s">
        <v>117</v>
      </c>
      <c r="C22" s="98" t="s">
        <v>118</v>
      </c>
      <c r="D22" s="80">
        <v>102.0</v>
      </c>
      <c r="E22" s="20" t="s">
        <v>120</v>
      </c>
      <c r="F22" s="57">
        <v>0.0</v>
      </c>
      <c r="G22" s="57">
        <v>0.0</v>
      </c>
      <c r="H22" s="67"/>
      <c r="I22" s="59"/>
      <c r="J22" s="71"/>
      <c r="K22" s="30"/>
      <c r="L22" s="30"/>
      <c r="M22" s="8"/>
      <c r="N22" s="8"/>
      <c r="O22" s="8"/>
      <c r="P22" s="8"/>
      <c r="Q22" s="8"/>
      <c r="R22" s="8"/>
    </row>
    <row r="23" ht="37.5" customHeight="1">
      <c r="A23" s="97"/>
      <c r="B23" s="97" t="s">
        <v>117</v>
      </c>
      <c r="C23" s="98" t="s">
        <v>118</v>
      </c>
      <c r="D23" s="80">
        <v>102.0</v>
      </c>
      <c r="E23" s="20" t="s">
        <v>124</v>
      </c>
      <c r="F23" s="57">
        <v>0.0</v>
      </c>
      <c r="G23" s="57">
        <v>0.0</v>
      </c>
      <c r="H23" s="71"/>
      <c r="I23" s="59"/>
      <c r="J23" s="71"/>
      <c r="K23" s="47"/>
      <c r="L23" s="30"/>
      <c r="M23" s="8"/>
      <c r="N23" s="8"/>
      <c r="O23" s="8"/>
      <c r="P23" s="8"/>
      <c r="Q23" s="8"/>
      <c r="R23" s="8"/>
    </row>
    <row r="24" ht="24.75" customHeight="1">
      <c r="A24" s="53"/>
      <c r="B24" s="97" t="s">
        <v>125</v>
      </c>
      <c r="C24" s="98" t="s">
        <v>126</v>
      </c>
      <c r="D24" s="80">
        <v>189.0</v>
      </c>
      <c r="E24" s="20" t="s">
        <v>127</v>
      </c>
      <c r="F24" s="57">
        <v>0.0</v>
      </c>
      <c r="G24" s="57">
        <v>0.0</v>
      </c>
      <c r="H24" s="71"/>
      <c r="I24" s="59"/>
      <c r="J24" s="71"/>
      <c r="K24" s="30"/>
      <c r="L24" s="47"/>
      <c r="M24" s="8"/>
      <c r="N24" s="8"/>
      <c r="O24" s="8"/>
      <c r="P24" s="8"/>
      <c r="Q24" s="8"/>
      <c r="R24" s="8"/>
    </row>
    <row r="25" ht="14.25" customHeight="1">
      <c r="A25" s="53"/>
      <c r="B25" s="97" t="s">
        <v>132</v>
      </c>
      <c r="C25" s="112" t="s">
        <v>133</v>
      </c>
      <c r="D25" s="113">
        <v>84.0</v>
      </c>
      <c r="E25" s="114" t="s">
        <v>134</v>
      </c>
      <c r="F25" s="57">
        <v>0.0</v>
      </c>
      <c r="G25" s="57">
        <v>0.0</v>
      </c>
      <c r="H25" s="71"/>
      <c r="I25" s="59"/>
      <c r="J25" s="71"/>
      <c r="K25" s="30"/>
      <c r="L25" s="30"/>
      <c r="M25" s="8"/>
      <c r="N25" s="8"/>
      <c r="O25" s="8"/>
      <c r="P25" s="8"/>
      <c r="Q25" s="8"/>
      <c r="R25" s="8"/>
    </row>
    <row r="26" ht="24.75" customHeight="1">
      <c r="A26" s="53"/>
      <c r="B26" s="116" t="s">
        <v>141</v>
      </c>
      <c r="C26" s="54" t="s">
        <v>142</v>
      </c>
      <c r="D26" s="55">
        <v>90.0</v>
      </c>
      <c r="E26" s="56" t="s">
        <v>143</v>
      </c>
      <c r="F26" s="57">
        <v>0.0</v>
      </c>
      <c r="G26" s="57">
        <v>0.0</v>
      </c>
      <c r="H26" s="67">
        <f>864.91+1229.21+119.92</f>
        <v>2214.04</v>
      </c>
      <c r="I26" s="59"/>
      <c r="J26" s="71"/>
      <c r="K26" s="30"/>
      <c r="L26" s="30"/>
      <c r="M26" s="8"/>
      <c r="N26" s="8"/>
      <c r="O26" s="8"/>
      <c r="P26" s="8"/>
      <c r="Q26" s="8"/>
      <c r="R26" s="8"/>
    </row>
    <row r="27" ht="24.75" customHeight="1">
      <c r="A27" s="53"/>
      <c r="B27" s="53" t="s">
        <v>146</v>
      </c>
      <c r="C27" s="54" t="s">
        <v>147</v>
      </c>
      <c r="D27" s="55">
        <v>82.0</v>
      </c>
      <c r="E27" s="56" t="s">
        <v>149</v>
      </c>
      <c r="F27" s="117">
        <v>654.0</v>
      </c>
      <c r="G27" s="117">
        <v>888.0</v>
      </c>
      <c r="H27" s="118">
        <v>864.91</v>
      </c>
      <c r="I27" s="59"/>
      <c r="J27" s="71"/>
      <c r="K27" s="119"/>
      <c r="L27" s="30"/>
      <c r="M27" s="8"/>
      <c r="N27" s="8"/>
      <c r="O27" s="8"/>
      <c r="P27" s="8"/>
      <c r="Q27" s="8"/>
      <c r="R27" s="8"/>
    </row>
    <row r="28" ht="24.75" customHeight="1">
      <c r="A28" s="53"/>
      <c r="B28" s="53" t="s">
        <v>146</v>
      </c>
      <c r="C28" s="54" t="s">
        <v>147</v>
      </c>
      <c r="D28" s="55">
        <v>83.0</v>
      </c>
      <c r="E28" s="56" t="s">
        <v>152</v>
      </c>
      <c r="F28" s="57">
        <v>0.0</v>
      </c>
      <c r="G28" s="117">
        <v>671.79</v>
      </c>
      <c r="H28" s="122">
        <v>0.0</v>
      </c>
      <c r="I28" s="59"/>
      <c r="J28" s="71"/>
      <c r="K28" s="30"/>
      <c r="L28" s="30"/>
      <c r="M28" s="8"/>
      <c r="N28" s="8"/>
      <c r="O28" s="8"/>
      <c r="P28" s="8"/>
      <c r="Q28" s="8"/>
      <c r="R28" s="8"/>
    </row>
    <row r="29" ht="24.75" customHeight="1">
      <c r="A29" s="53"/>
      <c r="B29" s="53" t="s">
        <v>146</v>
      </c>
      <c r="C29" s="54" t="s">
        <v>147</v>
      </c>
      <c r="D29" s="55">
        <v>96.0</v>
      </c>
      <c r="E29" s="56" t="s">
        <v>154</v>
      </c>
      <c r="F29" s="57">
        <v>0.0</v>
      </c>
      <c r="G29" s="57">
        <v>0.0</v>
      </c>
      <c r="H29" s="64">
        <v>0.0</v>
      </c>
      <c r="I29" s="59"/>
      <c r="J29" s="71"/>
      <c r="K29" s="30"/>
      <c r="L29" s="30"/>
      <c r="M29" s="8"/>
      <c r="N29" s="8"/>
      <c r="O29" s="8"/>
      <c r="P29" s="8"/>
      <c r="Q29" s="8"/>
      <c r="R29" s="8"/>
    </row>
    <row r="30" ht="24.75" customHeight="1">
      <c r="A30" s="53"/>
      <c r="B30" s="53" t="s">
        <v>146</v>
      </c>
      <c r="C30" s="54" t="s">
        <v>147</v>
      </c>
      <c r="D30" s="55">
        <v>81.0</v>
      </c>
      <c r="E30" s="56" t="s">
        <v>157</v>
      </c>
      <c r="F30" s="57">
        <v>0.0</v>
      </c>
      <c r="G30" s="57">
        <v>0.0</v>
      </c>
      <c r="H30" s="64">
        <v>0.0</v>
      </c>
      <c r="I30" s="59"/>
      <c r="J30" s="71"/>
      <c r="K30" s="30"/>
      <c r="L30" s="30"/>
      <c r="M30" s="8"/>
      <c r="N30" s="8"/>
      <c r="O30" s="8"/>
      <c r="P30" s="8"/>
      <c r="Q30" s="8"/>
      <c r="R30" s="8"/>
    </row>
    <row r="31" ht="24.75" customHeight="1">
      <c r="A31" s="53"/>
      <c r="B31" s="53" t="s">
        <v>158</v>
      </c>
      <c r="C31" s="54" t="s">
        <v>159</v>
      </c>
      <c r="D31" s="53">
        <v>102.0</v>
      </c>
      <c r="E31" s="56" t="s">
        <v>160</v>
      </c>
      <c r="F31" s="117">
        <v>345.22</v>
      </c>
      <c r="G31" s="117">
        <v>49.86</v>
      </c>
      <c r="H31" s="127">
        <v>86.49</v>
      </c>
      <c r="I31" s="59"/>
      <c r="J31" s="71"/>
      <c r="K31" s="30"/>
      <c r="L31" s="30"/>
      <c r="M31" s="8"/>
      <c r="N31" s="8"/>
      <c r="O31" s="8"/>
      <c r="P31" s="8"/>
      <c r="Q31" s="8"/>
      <c r="R31" s="8"/>
    </row>
    <row r="32" ht="24.75" customHeight="1">
      <c r="A32" s="53"/>
      <c r="B32" s="53" t="s">
        <v>158</v>
      </c>
      <c r="C32" s="54" t="s">
        <v>162</v>
      </c>
      <c r="D32" s="53">
        <v>102.0</v>
      </c>
      <c r="E32" s="56" t="s">
        <v>163</v>
      </c>
      <c r="F32" s="57">
        <v>0.0</v>
      </c>
      <c r="G32" s="57">
        <v>0.0</v>
      </c>
      <c r="H32" s="128">
        <v>0.0</v>
      </c>
      <c r="I32" s="59"/>
      <c r="J32" s="71"/>
      <c r="K32" s="30"/>
      <c r="L32" s="30"/>
      <c r="M32" s="8"/>
      <c r="N32" s="8"/>
      <c r="O32" s="8"/>
      <c r="P32" s="8"/>
      <c r="Q32" s="8"/>
      <c r="R32" s="8"/>
    </row>
    <row r="33" ht="24.75" customHeight="1">
      <c r="A33" s="53"/>
      <c r="B33" s="53" t="s">
        <v>158</v>
      </c>
      <c r="C33" s="54" t="s">
        <v>162</v>
      </c>
      <c r="D33" s="55">
        <v>102.0</v>
      </c>
      <c r="E33" s="56" t="s">
        <v>166</v>
      </c>
      <c r="F33" s="57">
        <v>0.0</v>
      </c>
      <c r="G33" s="57">
        <v>0.0</v>
      </c>
      <c r="H33" s="128">
        <v>0.0</v>
      </c>
      <c r="I33" s="59"/>
      <c r="J33" s="71"/>
      <c r="K33" s="30"/>
      <c r="L33" s="30"/>
      <c r="M33" s="8"/>
      <c r="N33" s="8"/>
      <c r="O33" s="8"/>
      <c r="P33" s="8"/>
      <c r="Q33" s="8"/>
      <c r="R33" s="8"/>
    </row>
    <row r="34" ht="24.75" customHeight="1">
      <c r="A34" s="53"/>
      <c r="B34" s="53" t="s">
        <v>158</v>
      </c>
      <c r="C34" s="54" t="s">
        <v>169</v>
      </c>
      <c r="D34" s="55">
        <v>102.0</v>
      </c>
      <c r="E34" s="56" t="s">
        <v>170</v>
      </c>
      <c r="F34" s="57">
        <v>0.0</v>
      </c>
      <c r="G34" s="57">
        <v>0.0</v>
      </c>
      <c r="H34" s="64">
        <v>0.0</v>
      </c>
      <c r="I34" s="59"/>
      <c r="J34" s="71"/>
      <c r="K34" s="30"/>
      <c r="L34" s="30"/>
      <c r="M34" s="8"/>
      <c r="N34" s="8"/>
      <c r="O34" s="8"/>
      <c r="P34" s="8"/>
      <c r="Q34" s="8"/>
      <c r="R34" s="8"/>
    </row>
    <row r="35" ht="24.75" customHeight="1">
      <c r="A35" s="53"/>
      <c r="B35" s="53" t="s">
        <v>173</v>
      </c>
      <c r="C35" s="54" t="s">
        <v>174</v>
      </c>
      <c r="D35" s="55">
        <v>102.0</v>
      </c>
      <c r="E35" s="56" t="s">
        <v>175</v>
      </c>
      <c r="F35" s="57">
        <v>0.0</v>
      </c>
      <c r="G35" s="57">
        <v>0.0</v>
      </c>
      <c r="H35" s="64">
        <v>0.0</v>
      </c>
      <c r="I35" s="59"/>
      <c r="J35" s="71"/>
      <c r="K35" s="72"/>
      <c r="L35" s="30"/>
      <c r="M35" s="30"/>
      <c r="N35" s="8"/>
      <c r="O35" s="8"/>
      <c r="P35" s="8"/>
      <c r="Q35" s="8"/>
      <c r="R35" s="8"/>
    </row>
    <row r="36" ht="24.75" customHeight="1">
      <c r="A36" s="53"/>
      <c r="B36" s="97" t="s">
        <v>177</v>
      </c>
      <c r="C36" s="98" t="s">
        <v>178</v>
      </c>
      <c r="D36" s="80">
        <v>102.0</v>
      </c>
      <c r="E36" s="20" t="s">
        <v>179</v>
      </c>
      <c r="F36" s="57">
        <v>0.0</v>
      </c>
      <c r="G36" s="57">
        <v>0.0</v>
      </c>
      <c r="H36" s="64">
        <v>0.0</v>
      </c>
      <c r="I36" s="59"/>
      <c r="J36" s="71"/>
      <c r="K36" s="72"/>
      <c r="L36" s="30"/>
      <c r="M36" s="30"/>
      <c r="N36" s="8"/>
      <c r="O36" s="8"/>
      <c r="P36" s="8"/>
      <c r="Q36" s="8"/>
      <c r="R36" s="8"/>
    </row>
    <row r="37" ht="24.75" customHeight="1">
      <c r="A37" s="53"/>
      <c r="B37" s="97" t="s">
        <v>177</v>
      </c>
      <c r="C37" s="98" t="s">
        <v>178</v>
      </c>
      <c r="D37" s="80">
        <v>102.0</v>
      </c>
      <c r="E37" s="20" t="s">
        <v>180</v>
      </c>
      <c r="F37" s="57">
        <v>0.0</v>
      </c>
      <c r="G37" s="57">
        <v>0.0</v>
      </c>
      <c r="H37" s="64">
        <v>0.0</v>
      </c>
      <c r="I37" s="59"/>
      <c r="J37" s="71"/>
      <c r="K37" s="30"/>
      <c r="L37" s="30"/>
      <c r="M37" s="30"/>
      <c r="N37" s="8"/>
      <c r="O37" s="8"/>
      <c r="P37" s="8"/>
      <c r="Q37" s="8"/>
      <c r="R37" s="8"/>
    </row>
    <row r="38" ht="24.75" customHeight="1">
      <c r="A38" s="53"/>
      <c r="B38" s="97" t="s">
        <v>177</v>
      </c>
      <c r="C38" s="98" t="s">
        <v>178</v>
      </c>
      <c r="D38" s="55">
        <v>102.0</v>
      </c>
      <c r="E38" s="143" t="s">
        <v>181</v>
      </c>
      <c r="F38" s="57">
        <v>0.0</v>
      </c>
      <c r="G38" s="57">
        <v>0.0</v>
      </c>
      <c r="H38" s="64">
        <v>0.0</v>
      </c>
      <c r="I38" s="59"/>
      <c r="J38" s="71"/>
      <c r="K38" s="30"/>
      <c r="L38" s="30"/>
      <c r="M38" s="8"/>
      <c r="N38" s="8"/>
      <c r="O38" s="8"/>
      <c r="P38" s="8"/>
      <c r="Q38" s="8"/>
      <c r="R38" s="8"/>
    </row>
    <row r="39" ht="31.5" customHeight="1">
      <c r="A39" s="53"/>
      <c r="B39" s="53" t="s">
        <v>183</v>
      </c>
      <c r="C39" s="54" t="s">
        <v>184</v>
      </c>
      <c r="D39" s="55">
        <v>102.0</v>
      </c>
      <c r="E39" s="56" t="s">
        <v>185</v>
      </c>
      <c r="F39" s="57">
        <v>0.0</v>
      </c>
      <c r="G39" s="57">
        <v>0.0</v>
      </c>
      <c r="H39" s="148">
        <v>0.0</v>
      </c>
      <c r="I39" s="59"/>
      <c r="J39" s="71"/>
      <c r="K39" s="30"/>
      <c r="L39" s="30"/>
      <c r="M39" s="30"/>
      <c r="N39" s="8"/>
      <c r="O39" s="8"/>
      <c r="P39" s="8"/>
      <c r="Q39" s="8"/>
      <c r="R39" s="8"/>
    </row>
    <row r="40" ht="30.0" customHeight="1">
      <c r="A40" s="53"/>
      <c r="B40" s="53" t="s">
        <v>186</v>
      </c>
      <c r="C40" s="54" t="s">
        <v>184</v>
      </c>
      <c r="D40" s="55">
        <v>102.0</v>
      </c>
      <c r="E40" s="56" t="s">
        <v>187</v>
      </c>
      <c r="F40" s="57">
        <v>0.0</v>
      </c>
      <c r="G40" s="57">
        <v>0.0</v>
      </c>
      <c r="H40" s="67"/>
      <c r="I40" s="59"/>
      <c r="J40" s="71"/>
      <c r="K40" s="8"/>
      <c r="L40" s="30"/>
      <c r="M40" s="8"/>
      <c r="N40" s="8"/>
      <c r="O40" s="8"/>
      <c r="P40" s="8"/>
      <c r="Q40" s="8"/>
      <c r="R40" s="8"/>
    </row>
    <row r="41" ht="24.75" customHeight="1">
      <c r="A41" s="53"/>
      <c r="B41" s="53" t="s">
        <v>189</v>
      </c>
      <c r="C41" s="54" t="s">
        <v>190</v>
      </c>
      <c r="D41" s="53">
        <v>78.0</v>
      </c>
      <c r="E41" s="56" t="s">
        <v>191</v>
      </c>
      <c r="F41" s="57">
        <v>4979.09</v>
      </c>
      <c r="G41" s="57">
        <v>0.0</v>
      </c>
      <c r="H41" s="128">
        <v>0.0</v>
      </c>
      <c r="I41" s="59"/>
      <c r="J41" s="71"/>
      <c r="K41" s="30"/>
      <c r="L41" s="47"/>
      <c r="M41" s="8"/>
      <c r="N41" s="8"/>
      <c r="O41" s="8"/>
      <c r="P41" s="8"/>
      <c r="Q41" s="8"/>
      <c r="R41" s="8"/>
    </row>
    <row r="42" ht="24.75" customHeight="1">
      <c r="A42" s="53"/>
      <c r="B42" s="53" t="s">
        <v>192</v>
      </c>
      <c r="C42" s="54" t="s">
        <v>194</v>
      </c>
      <c r="D42" s="55">
        <v>175.0</v>
      </c>
      <c r="E42" s="56" t="s">
        <v>195</v>
      </c>
      <c r="F42" s="57">
        <v>0.0</v>
      </c>
      <c r="G42" s="57">
        <v>0.0</v>
      </c>
      <c r="H42" s="157"/>
      <c r="I42" s="59"/>
      <c r="J42" s="71"/>
      <c r="K42" s="30"/>
      <c r="L42" s="30"/>
      <c r="M42" s="30"/>
      <c r="N42" s="8"/>
      <c r="O42" s="8"/>
      <c r="P42" s="8"/>
      <c r="Q42" s="8"/>
      <c r="R42" s="8"/>
    </row>
    <row r="43" ht="24.75" customHeight="1">
      <c r="A43" s="53"/>
      <c r="B43" s="53" t="s">
        <v>192</v>
      </c>
      <c r="C43" s="54" t="s">
        <v>194</v>
      </c>
      <c r="D43" s="55">
        <v>175.0</v>
      </c>
      <c r="E43" s="56" t="s">
        <v>198</v>
      </c>
      <c r="F43" s="57">
        <v>0.0</v>
      </c>
      <c r="G43" s="57">
        <v>0.0</v>
      </c>
      <c r="H43" s="67"/>
      <c r="I43" s="59"/>
      <c r="J43" s="71"/>
      <c r="K43" s="47"/>
      <c r="L43" s="47"/>
      <c r="M43" s="8"/>
      <c r="N43" s="8"/>
      <c r="O43" s="8"/>
      <c r="P43" s="8"/>
      <c r="Q43" s="8"/>
      <c r="R43" s="8"/>
    </row>
    <row r="44" ht="24.75" customHeight="1">
      <c r="A44" s="53"/>
      <c r="B44" s="53" t="s">
        <v>201</v>
      </c>
      <c r="C44" s="54" t="s">
        <v>202</v>
      </c>
      <c r="D44" s="55">
        <v>102.0</v>
      </c>
      <c r="E44" s="56" t="s">
        <v>204</v>
      </c>
      <c r="F44" s="57">
        <v>0.0</v>
      </c>
      <c r="G44" s="57">
        <v>0.0</v>
      </c>
      <c r="H44" s="67"/>
      <c r="I44" s="59"/>
      <c r="J44" s="71"/>
      <c r="K44" s="47"/>
      <c r="L44" s="47"/>
      <c r="M44" s="8"/>
      <c r="N44" s="8"/>
      <c r="O44" s="8"/>
      <c r="P44" s="8"/>
      <c r="Q44" s="8"/>
      <c r="R44" s="8"/>
    </row>
    <row r="45" ht="24.75" customHeight="1">
      <c r="A45" s="53"/>
      <c r="B45" s="53" t="s">
        <v>206</v>
      </c>
      <c r="C45" s="54" t="s">
        <v>208</v>
      </c>
      <c r="D45" s="55">
        <v>175.0</v>
      </c>
      <c r="E45" s="56" t="s">
        <v>210</v>
      </c>
      <c r="F45" s="57">
        <v>0.0</v>
      </c>
      <c r="G45" s="57">
        <v>559.0</v>
      </c>
      <c r="H45" s="53"/>
      <c r="I45" s="59"/>
      <c r="J45" s="71"/>
      <c r="K45" s="47"/>
      <c r="L45" s="47"/>
      <c r="M45" s="8"/>
      <c r="N45" s="8"/>
      <c r="O45" s="8"/>
      <c r="P45" s="8"/>
      <c r="Q45" s="8"/>
      <c r="R45" s="8"/>
    </row>
    <row r="46" ht="24.75" customHeight="1">
      <c r="A46" s="53"/>
      <c r="B46" s="170" t="s">
        <v>214</v>
      </c>
      <c r="C46" s="54" t="s">
        <v>215</v>
      </c>
      <c r="D46" s="53">
        <v>102.0</v>
      </c>
      <c r="E46" s="56" t="s">
        <v>216</v>
      </c>
      <c r="F46" s="57">
        <v>0.0</v>
      </c>
      <c r="G46" s="57">
        <v>0.0</v>
      </c>
      <c r="H46" s="53"/>
      <c r="I46" s="59"/>
      <c r="J46" s="71"/>
      <c r="K46" s="47"/>
      <c r="L46" s="47"/>
      <c r="M46" s="8"/>
      <c r="N46" s="8"/>
      <c r="O46" s="8"/>
      <c r="P46" s="8"/>
      <c r="Q46" s="8"/>
      <c r="R46" s="8"/>
    </row>
    <row r="47" ht="24.75" customHeight="1">
      <c r="A47" s="53"/>
      <c r="B47" s="53" t="s">
        <v>217</v>
      </c>
      <c r="C47" s="54" t="s">
        <v>218</v>
      </c>
      <c r="D47" s="55">
        <v>95.0</v>
      </c>
      <c r="E47" s="56" t="s">
        <v>219</v>
      </c>
      <c r="F47" s="57">
        <v>0.0</v>
      </c>
      <c r="G47" s="117">
        <v>558.99</v>
      </c>
      <c r="H47" s="67"/>
      <c r="I47" s="59"/>
      <c r="J47" s="71"/>
      <c r="K47" s="30"/>
      <c r="L47" s="30"/>
      <c r="M47" s="8"/>
      <c r="N47" s="8"/>
      <c r="O47" s="8"/>
      <c r="P47" s="8"/>
      <c r="Q47" s="8"/>
      <c r="R47" s="8"/>
    </row>
    <row r="48" ht="14.25" customHeight="1">
      <c r="A48" s="53"/>
      <c r="B48" s="53" t="s">
        <v>217</v>
      </c>
      <c r="C48" s="54" t="s">
        <v>221</v>
      </c>
      <c r="D48" s="55">
        <v>76.0</v>
      </c>
      <c r="E48" s="56" t="s">
        <v>222</v>
      </c>
      <c r="F48" s="57">
        <v>0.0</v>
      </c>
      <c r="G48" s="57">
        <v>0.0</v>
      </c>
      <c r="H48" s="67"/>
      <c r="I48" s="59"/>
      <c r="J48" s="71"/>
      <c r="K48" s="30"/>
      <c r="L48" s="30"/>
      <c r="M48" s="8"/>
      <c r="N48" s="8"/>
      <c r="O48" s="8"/>
      <c r="P48" s="8"/>
      <c r="Q48" s="8"/>
      <c r="R48" s="8"/>
    </row>
    <row r="49" ht="14.25" customHeight="1">
      <c r="A49" s="53"/>
      <c r="B49" s="53" t="s">
        <v>227</v>
      </c>
      <c r="C49" s="54" t="s">
        <v>228</v>
      </c>
      <c r="D49" s="55">
        <v>102.0</v>
      </c>
      <c r="E49" s="56" t="s">
        <v>230</v>
      </c>
      <c r="F49" s="57">
        <v>0.0</v>
      </c>
      <c r="G49" s="57">
        <v>0.0</v>
      </c>
      <c r="H49" s="177"/>
      <c r="I49" s="59"/>
      <c r="J49" s="71"/>
      <c r="K49" s="178"/>
      <c r="L49" s="30"/>
      <c r="M49" s="30"/>
      <c r="N49" s="8"/>
      <c r="O49" s="8"/>
      <c r="P49" s="8"/>
      <c r="Q49" s="8"/>
      <c r="R49" s="8"/>
    </row>
    <row r="50" ht="24.75" customHeight="1">
      <c r="A50" s="53"/>
      <c r="B50" s="53" t="s">
        <v>235</v>
      </c>
      <c r="C50" s="54" t="s">
        <v>236</v>
      </c>
      <c r="D50" s="55">
        <v>102.0</v>
      </c>
      <c r="E50" s="56" t="s">
        <v>237</v>
      </c>
      <c r="F50" s="57">
        <v>0.0</v>
      </c>
      <c r="G50" s="57">
        <v>0.0</v>
      </c>
      <c r="H50" s="177"/>
      <c r="I50" s="59"/>
      <c r="J50" s="71"/>
      <c r="K50" s="178"/>
      <c r="L50" s="30"/>
      <c r="M50" s="30"/>
      <c r="N50" s="8"/>
      <c r="O50" s="8"/>
      <c r="P50" s="8"/>
      <c r="Q50" s="8"/>
      <c r="R50" s="8"/>
    </row>
    <row r="51" ht="24.75" customHeight="1">
      <c r="A51" s="53"/>
      <c r="B51" s="53" t="s">
        <v>241</v>
      </c>
      <c r="C51" s="54" t="s">
        <v>242</v>
      </c>
      <c r="D51" s="55">
        <v>102.0</v>
      </c>
      <c r="E51" s="56" t="s">
        <v>243</v>
      </c>
      <c r="F51" s="57">
        <v>0.0</v>
      </c>
      <c r="G51" s="57">
        <v>0.0</v>
      </c>
      <c r="H51" s="67"/>
      <c r="I51" s="59"/>
      <c r="J51" s="71"/>
      <c r="K51" s="8"/>
      <c r="L51" s="8"/>
      <c r="M51" s="8"/>
      <c r="N51" s="8"/>
      <c r="O51" s="8"/>
      <c r="P51" s="8"/>
      <c r="Q51" s="8"/>
      <c r="R51" s="8"/>
    </row>
    <row r="52" ht="31.5" customHeight="1">
      <c r="A52" s="53"/>
      <c r="B52" s="53" t="s">
        <v>244</v>
      </c>
      <c r="C52" s="54" t="s">
        <v>245</v>
      </c>
      <c r="D52" s="55">
        <v>102.0</v>
      </c>
      <c r="E52" s="56" t="s">
        <v>246</v>
      </c>
      <c r="F52" s="117">
        <v>345.22</v>
      </c>
      <c r="G52" s="57">
        <v>0.0</v>
      </c>
      <c r="H52" s="157"/>
      <c r="I52" s="59"/>
      <c r="J52" s="71"/>
      <c r="K52" s="30"/>
      <c r="L52" s="30"/>
      <c r="M52" s="30"/>
      <c r="N52" s="8"/>
      <c r="O52" s="8"/>
      <c r="P52" s="8"/>
      <c r="Q52" s="8"/>
      <c r="R52" s="8"/>
    </row>
    <row r="53" ht="31.5" customHeight="1">
      <c r="A53" s="53"/>
      <c r="B53" s="53" t="s">
        <v>247</v>
      </c>
      <c r="C53" s="54" t="s">
        <v>248</v>
      </c>
      <c r="D53" s="55">
        <v>175.0</v>
      </c>
      <c r="E53" s="56" t="s">
        <v>249</v>
      </c>
      <c r="F53" s="57">
        <v>0.0</v>
      </c>
      <c r="G53" s="57">
        <v>0.0</v>
      </c>
      <c r="H53" s="157"/>
      <c r="I53" s="59"/>
      <c r="J53" s="71"/>
      <c r="K53" s="30"/>
      <c r="L53" s="30"/>
      <c r="M53" s="30"/>
      <c r="N53" s="8"/>
      <c r="O53" s="8"/>
      <c r="P53" s="8"/>
      <c r="Q53" s="8"/>
      <c r="R53" s="8"/>
    </row>
    <row r="54" ht="24.75" customHeight="1">
      <c r="A54" s="53"/>
      <c r="B54" s="116" t="s">
        <v>250</v>
      </c>
      <c r="C54" s="54" t="s">
        <v>251</v>
      </c>
      <c r="D54" s="55">
        <v>175.0</v>
      </c>
      <c r="E54" s="56" t="s">
        <v>252</v>
      </c>
      <c r="F54" s="57">
        <v>0.0</v>
      </c>
      <c r="G54" s="57">
        <v>0.0</v>
      </c>
      <c r="H54" s="67"/>
      <c r="I54" s="59"/>
      <c r="J54" s="71"/>
      <c r="K54" s="30"/>
      <c r="L54" s="30"/>
      <c r="M54" s="30"/>
      <c r="N54" s="8"/>
      <c r="O54" s="8"/>
      <c r="P54" s="8"/>
      <c r="Q54" s="8"/>
      <c r="R54" s="8"/>
    </row>
    <row r="55" ht="24.75" customHeight="1">
      <c r="A55" s="53"/>
      <c r="B55" s="170" t="s">
        <v>214</v>
      </c>
      <c r="C55" s="54" t="s">
        <v>215</v>
      </c>
      <c r="D55" s="55">
        <v>102.0</v>
      </c>
      <c r="E55" s="56" t="s">
        <v>216</v>
      </c>
      <c r="F55" s="57">
        <v>0.0</v>
      </c>
      <c r="G55" s="57">
        <v>0.0</v>
      </c>
      <c r="H55" s="67"/>
      <c r="I55" s="59"/>
      <c r="J55" s="71"/>
      <c r="K55" s="30"/>
      <c r="L55" s="30"/>
      <c r="M55" s="30"/>
      <c r="N55" s="8"/>
      <c r="O55" s="8"/>
      <c r="P55" s="8"/>
      <c r="Q55" s="8"/>
      <c r="R55" s="8"/>
    </row>
    <row r="56" ht="24.75" customHeight="1">
      <c r="A56" s="53"/>
      <c r="B56" s="53" t="s">
        <v>256</v>
      </c>
      <c r="C56" s="54" t="s">
        <v>257</v>
      </c>
      <c r="D56" s="55">
        <v>175.0</v>
      </c>
      <c r="E56" s="56" t="s">
        <v>258</v>
      </c>
      <c r="F56" s="117">
        <v>2104.28</v>
      </c>
      <c r="G56" s="57">
        <v>0.0</v>
      </c>
      <c r="H56" s="67"/>
      <c r="I56" s="59"/>
      <c r="J56" s="71"/>
      <c r="K56" s="30"/>
      <c r="L56" s="8"/>
      <c r="M56" s="8"/>
      <c r="N56" s="8"/>
      <c r="O56" s="8"/>
      <c r="P56" s="8"/>
      <c r="Q56" s="8"/>
      <c r="R56" s="8"/>
    </row>
    <row r="57" ht="24.75" customHeight="1">
      <c r="A57" s="53"/>
      <c r="B57" s="53" t="s">
        <v>261</v>
      </c>
      <c r="C57" s="54" t="s">
        <v>263</v>
      </c>
      <c r="D57" s="55">
        <v>102.0</v>
      </c>
      <c r="E57" s="56" t="s">
        <v>266</v>
      </c>
      <c r="F57" s="57">
        <v>0.0</v>
      </c>
      <c r="G57" s="57">
        <v>0.0</v>
      </c>
      <c r="H57" s="67"/>
      <c r="I57" s="59"/>
      <c r="J57" s="71"/>
      <c r="K57" s="30"/>
      <c r="L57" s="8"/>
      <c r="M57" s="8"/>
      <c r="N57" s="8"/>
      <c r="O57" s="8"/>
      <c r="P57" s="8"/>
      <c r="Q57" s="8"/>
      <c r="R57" s="8"/>
    </row>
    <row r="58" ht="24.75" customHeight="1">
      <c r="A58" s="53"/>
      <c r="B58" s="204" t="s">
        <v>268</v>
      </c>
      <c r="C58" s="98" t="s">
        <v>269</v>
      </c>
      <c r="D58" s="80">
        <v>102.0</v>
      </c>
      <c r="E58" s="205" t="s">
        <v>270</v>
      </c>
      <c r="F58" s="117">
        <v>253.61</v>
      </c>
      <c r="G58" s="57">
        <v>0.0</v>
      </c>
      <c r="H58" s="67"/>
      <c r="I58" s="59"/>
      <c r="J58" s="71"/>
      <c r="K58" s="30"/>
      <c r="L58" s="8"/>
      <c r="M58" s="8"/>
      <c r="N58" s="8"/>
      <c r="O58" s="8"/>
      <c r="P58" s="8"/>
      <c r="Q58" s="8"/>
      <c r="R58" s="8"/>
    </row>
    <row r="59" ht="24.75" customHeight="1">
      <c r="A59" s="53"/>
      <c r="B59" s="206" t="s">
        <v>271</v>
      </c>
      <c r="C59" s="207" t="s">
        <v>272</v>
      </c>
      <c r="D59" s="208">
        <v>102.0</v>
      </c>
      <c r="E59" s="209" t="s">
        <v>274</v>
      </c>
      <c r="F59" s="57">
        <v>0.0</v>
      </c>
      <c r="G59" s="57">
        <v>0.0</v>
      </c>
      <c r="H59" s="67"/>
      <c r="I59" s="59"/>
      <c r="J59" s="71"/>
      <c r="K59" s="8"/>
      <c r="L59" s="8"/>
      <c r="M59" s="8"/>
      <c r="N59" s="8"/>
      <c r="O59" s="8"/>
      <c r="P59" s="8"/>
      <c r="Q59" s="8"/>
      <c r="R59" s="8"/>
    </row>
    <row r="60" ht="24.75" customHeight="1">
      <c r="A60" s="53"/>
      <c r="B60" s="210" t="s">
        <v>141</v>
      </c>
      <c r="C60" s="211" t="s">
        <v>278</v>
      </c>
      <c r="D60" s="212">
        <v>91.0</v>
      </c>
      <c r="E60" s="213" t="s">
        <v>281</v>
      </c>
      <c r="F60" s="214">
        <v>0.0</v>
      </c>
      <c r="G60" s="214">
        <v>0.0</v>
      </c>
      <c r="H60" s="58">
        <v>89.1</v>
      </c>
      <c r="I60" s="59"/>
      <c r="J60" s="71"/>
      <c r="K60" s="8"/>
      <c r="L60" s="8"/>
      <c r="M60" s="8"/>
      <c r="N60" s="8"/>
      <c r="O60" s="8"/>
      <c r="P60" s="8"/>
      <c r="Q60" s="8"/>
      <c r="R60" s="8"/>
    </row>
    <row r="61" ht="24.75" customHeight="1">
      <c r="A61" s="53"/>
      <c r="B61" s="53" t="s">
        <v>283</v>
      </c>
      <c r="C61" s="54" t="s">
        <v>284</v>
      </c>
      <c r="D61" s="55">
        <v>102.0</v>
      </c>
      <c r="E61" s="56" t="s">
        <v>285</v>
      </c>
      <c r="F61" s="57">
        <v>0.0</v>
      </c>
      <c r="G61" s="57">
        <v>0.0</v>
      </c>
      <c r="H61" s="67"/>
      <c r="I61" s="59"/>
      <c r="J61" s="71"/>
      <c r="K61" s="8"/>
      <c r="L61" s="8"/>
      <c r="M61" s="8"/>
      <c r="N61" s="8"/>
      <c r="O61" s="8"/>
      <c r="P61" s="8"/>
      <c r="Q61" s="8"/>
      <c r="R61" s="8"/>
    </row>
    <row r="62" ht="24.75" customHeight="1">
      <c r="A62" s="53"/>
      <c r="B62" s="53" t="s">
        <v>288</v>
      </c>
      <c r="C62" s="54" t="s">
        <v>289</v>
      </c>
      <c r="D62" s="80">
        <v>175.0</v>
      </c>
      <c r="E62" s="205" t="s">
        <v>290</v>
      </c>
      <c r="F62" s="57">
        <v>0.0</v>
      </c>
      <c r="G62" s="57">
        <v>0.0</v>
      </c>
      <c r="H62" s="67"/>
      <c r="I62" s="59"/>
      <c r="J62" s="71"/>
      <c r="K62" s="30"/>
      <c r="L62" s="30"/>
      <c r="M62" s="30"/>
      <c r="N62" s="30"/>
      <c r="O62" s="30"/>
      <c r="P62" s="8"/>
      <c r="Q62" s="8"/>
      <c r="R62" s="8"/>
    </row>
    <row r="63" ht="14.25" customHeight="1">
      <c r="A63" s="53"/>
      <c r="B63" s="53" t="s">
        <v>291</v>
      </c>
      <c r="C63" s="54" t="s">
        <v>292</v>
      </c>
      <c r="D63" s="55">
        <v>175.0</v>
      </c>
      <c r="E63" s="56" t="s">
        <v>293</v>
      </c>
      <c r="F63" s="117">
        <v>1284.71</v>
      </c>
      <c r="G63" s="57">
        <v>0.0</v>
      </c>
      <c r="H63" s="67"/>
      <c r="I63" s="59"/>
      <c r="J63" s="71"/>
      <c r="K63" s="30"/>
      <c r="L63" s="30"/>
      <c r="M63" s="30"/>
      <c r="N63" s="30"/>
      <c r="O63" s="30"/>
      <c r="P63" s="8"/>
      <c r="Q63" s="8"/>
      <c r="R63" s="8"/>
    </row>
    <row r="64" ht="26.25" customHeight="1">
      <c r="A64" s="53"/>
      <c r="B64" s="216" t="s">
        <v>294</v>
      </c>
      <c r="C64" s="54" t="s">
        <v>295</v>
      </c>
      <c r="D64" s="55">
        <v>175.0</v>
      </c>
      <c r="E64" s="218" t="s">
        <v>296</v>
      </c>
      <c r="F64" s="57">
        <v>0.0</v>
      </c>
      <c r="G64" s="57">
        <v>0.0</v>
      </c>
      <c r="H64" s="67"/>
      <c r="I64" s="59"/>
      <c r="J64" s="71"/>
      <c r="K64" s="30"/>
      <c r="L64" s="30"/>
      <c r="M64" s="30"/>
      <c r="N64" s="30"/>
      <c r="O64" s="30"/>
      <c r="P64" s="8"/>
      <c r="Q64" s="8"/>
      <c r="R64" s="8"/>
    </row>
    <row r="65" ht="24.75" customHeight="1">
      <c r="A65" s="53"/>
      <c r="B65" s="53" t="s">
        <v>297</v>
      </c>
      <c r="C65" s="54" t="s">
        <v>298</v>
      </c>
      <c r="D65" s="55">
        <v>175.0</v>
      </c>
      <c r="E65" s="56" t="s">
        <v>299</v>
      </c>
      <c r="F65" s="57">
        <v>0.0</v>
      </c>
      <c r="G65" s="57">
        <v>0.0</v>
      </c>
      <c r="H65" s="67"/>
      <c r="I65" s="59"/>
      <c r="J65" s="71"/>
      <c r="K65" s="30"/>
      <c r="L65" s="30"/>
      <c r="M65" s="30"/>
      <c r="N65" s="30"/>
      <c r="O65" s="30"/>
      <c r="P65" s="8"/>
      <c r="Q65" s="8"/>
      <c r="R65" s="8"/>
    </row>
    <row r="66" ht="14.25" customHeight="1">
      <c r="A66" s="53"/>
      <c r="B66" s="53" t="s">
        <v>297</v>
      </c>
      <c r="C66" s="54" t="s">
        <v>298</v>
      </c>
      <c r="D66" s="55">
        <v>175.0</v>
      </c>
      <c r="E66" s="56" t="s">
        <v>300</v>
      </c>
      <c r="F66" s="57">
        <v>0.0</v>
      </c>
      <c r="G66" s="57">
        <v>0.0</v>
      </c>
      <c r="H66" s="67"/>
      <c r="I66" s="59"/>
      <c r="J66" s="71"/>
      <c r="K66" s="30"/>
      <c r="L66" s="30"/>
      <c r="M66" s="30"/>
      <c r="N66" s="30"/>
      <c r="O66" s="30"/>
      <c r="P66" s="8"/>
      <c r="Q66" s="8"/>
      <c r="R66" s="8"/>
    </row>
    <row r="67" ht="14.25" customHeight="1">
      <c r="A67" s="53"/>
      <c r="B67" s="53" t="s">
        <v>297</v>
      </c>
      <c r="C67" s="54" t="s">
        <v>298</v>
      </c>
      <c r="D67" s="55">
        <v>175.0</v>
      </c>
      <c r="E67" s="56" t="s">
        <v>301</v>
      </c>
      <c r="F67" s="117">
        <v>40.0</v>
      </c>
      <c r="G67" s="57">
        <v>0.0</v>
      </c>
      <c r="H67" s="67"/>
      <c r="I67" s="59"/>
      <c r="J67" s="71"/>
      <c r="K67" s="30"/>
      <c r="L67" s="30"/>
      <c r="M67" s="30"/>
      <c r="N67" s="30"/>
      <c r="O67" s="30"/>
      <c r="P67" s="8"/>
      <c r="Q67" s="8"/>
      <c r="R67" s="8"/>
    </row>
    <row r="68" ht="24.75" customHeight="1">
      <c r="A68" s="53"/>
      <c r="B68" s="97" t="s">
        <v>302</v>
      </c>
      <c r="C68" s="98" t="s">
        <v>303</v>
      </c>
      <c r="D68" s="55">
        <v>102.0</v>
      </c>
      <c r="E68" s="56" t="s">
        <v>304</v>
      </c>
      <c r="F68" s="57">
        <v>0.0</v>
      </c>
      <c r="G68" s="57">
        <v>0.0</v>
      </c>
      <c r="H68" s="67"/>
      <c r="I68" s="59"/>
      <c r="J68" s="71"/>
      <c r="K68" s="30"/>
      <c r="L68" s="30"/>
      <c r="M68" s="30"/>
      <c r="N68" s="30"/>
      <c r="O68" s="30"/>
      <c r="P68" s="8"/>
      <c r="Q68" s="8"/>
      <c r="R68" s="8"/>
    </row>
    <row r="69" ht="24.75" customHeight="1">
      <c r="A69" s="97"/>
      <c r="B69" s="233" t="s">
        <v>305</v>
      </c>
      <c r="C69" s="234" t="s">
        <v>306</v>
      </c>
      <c r="D69" s="235">
        <v>102.0</v>
      </c>
      <c r="E69" s="236" t="s">
        <v>307</v>
      </c>
      <c r="F69" s="238"/>
      <c r="G69" s="214">
        <v>0.0</v>
      </c>
      <c r="H69" s="214">
        <v>0.0</v>
      </c>
      <c r="I69" s="59"/>
      <c r="J69" s="71"/>
      <c r="K69" s="30"/>
      <c r="L69" s="30"/>
      <c r="M69" s="30"/>
      <c r="N69" s="30"/>
      <c r="O69" s="30"/>
      <c r="P69" s="8"/>
      <c r="Q69" s="8"/>
      <c r="R69" s="8"/>
    </row>
    <row r="70" ht="24.75" customHeight="1">
      <c r="A70" s="53"/>
      <c r="B70" s="53" t="s">
        <v>146</v>
      </c>
      <c r="C70" s="54" t="s">
        <v>147</v>
      </c>
      <c r="D70" s="55">
        <v>80.0</v>
      </c>
      <c r="E70" s="56" t="s">
        <v>308</v>
      </c>
      <c r="F70" s="57">
        <v>1095.33</v>
      </c>
      <c r="G70" s="57">
        <v>1533.87</v>
      </c>
      <c r="H70" s="240">
        <v>1229.21</v>
      </c>
      <c r="I70" s="59"/>
      <c r="J70" s="71"/>
      <c r="K70" s="30"/>
      <c r="L70" s="30"/>
      <c r="M70" s="30"/>
      <c r="N70" s="30"/>
      <c r="O70" s="30"/>
      <c r="P70" s="8"/>
      <c r="Q70" s="8"/>
      <c r="R70" s="8"/>
    </row>
    <row r="71" ht="24.75" customHeight="1">
      <c r="A71" s="53"/>
      <c r="B71" s="53" t="s">
        <v>146</v>
      </c>
      <c r="C71" s="54" t="s">
        <v>147</v>
      </c>
      <c r="D71" s="55">
        <v>80.0</v>
      </c>
      <c r="E71" s="56" t="s">
        <v>309</v>
      </c>
      <c r="F71" s="57">
        <v>4.68</v>
      </c>
      <c r="G71" s="85"/>
      <c r="H71" s="67"/>
      <c r="I71" s="59"/>
      <c r="J71" s="71"/>
      <c r="K71" s="30"/>
      <c r="L71" s="30"/>
      <c r="M71" s="30"/>
      <c r="N71" s="30"/>
      <c r="O71" s="30"/>
      <c r="P71" s="8"/>
      <c r="Q71" s="8"/>
      <c r="R71" s="8"/>
    </row>
    <row r="72" ht="24.75" customHeight="1">
      <c r="A72" s="97"/>
      <c r="B72" s="88" t="s">
        <v>108</v>
      </c>
      <c r="C72" s="90" t="s">
        <v>310</v>
      </c>
      <c r="D72" s="92">
        <v>74.0</v>
      </c>
      <c r="E72" s="93" t="s">
        <v>311</v>
      </c>
      <c r="F72" s="57">
        <v>0.0</v>
      </c>
      <c r="G72" s="57">
        <v>0.0</v>
      </c>
      <c r="H72" s="67"/>
      <c r="I72" s="59"/>
      <c r="J72" s="71"/>
      <c r="K72" s="30"/>
      <c r="L72" s="30"/>
      <c r="M72" s="30"/>
      <c r="N72" s="30"/>
      <c r="O72" s="30"/>
      <c r="P72" s="8"/>
      <c r="Q72" s="8"/>
      <c r="R72" s="8"/>
    </row>
    <row r="73" ht="24.75" customHeight="1">
      <c r="A73" s="53"/>
      <c r="B73" s="53" t="s">
        <v>312</v>
      </c>
      <c r="C73" s="54" t="s">
        <v>313</v>
      </c>
      <c r="D73" s="55">
        <v>92.0</v>
      </c>
      <c r="E73" s="218" t="s">
        <v>314</v>
      </c>
      <c r="F73" s="57">
        <v>0.0</v>
      </c>
      <c r="G73" s="57">
        <v>0.0</v>
      </c>
      <c r="H73" s="64">
        <v>157.44</v>
      </c>
      <c r="I73" s="59"/>
      <c r="J73" s="71"/>
      <c r="K73" s="30"/>
      <c r="L73" s="30"/>
      <c r="M73" s="30"/>
      <c r="N73" s="30"/>
      <c r="O73" s="30"/>
      <c r="P73" s="8"/>
      <c r="Q73" s="8"/>
      <c r="R73" s="8"/>
    </row>
    <row r="74" ht="24.75" customHeight="1">
      <c r="A74" s="53"/>
      <c r="B74" s="53" t="s">
        <v>316</v>
      </c>
      <c r="C74" s="54" t="s">
        <v>317</v>
      </c>
      <c r="D74" s="55">
        <v>175.0</v>
      </c>
      <c r="E74" s="205" t="s">
        <v>319</v>
      </c>
      <c r="F74" s="57">
        <v>0.0</v>
      </c>
      <c r="G74" s="57">
        <v>0.0</v>
      </c>
      <c r="H74" s="67"/>
      <c r="I74" s="59"/>
      <c r="J74" s="71"/>
      <c r="K74" s="30"/>
      <c r="L74" s="30"/>
      <c r="M74" s="30"/>
      <c r="N74" s="30"/>
      <c r="O74" s="30"/>
      <c r="P74" s="8"/>
      <c r="Q74" s="8"/>
      <c r="R74" s="8"/>
    </row>
    <row r="75" ht="24.75" customHeight="1">
      <c r="A75" s="53"/>
      <c r="B75" s="53" t="s">
        <v>325</v>
      </c>
      <c r="C75" s="54" t="s">
        <v>326</v>
      </c>
      <c r="D75" s="55">
        <v>175.0</v>
      </c>
      <c r="E75" s="218" t="s">
        <v>328</v>
      </c>
      <c r="F75" s="57">
        <v>0.0</v>
      </c>
      <c r="G75" s="57">
        <v>0.0</v>
      </c>
      <c r="H75" s="67"/>
      <c r="I75" s="59"/>
      <c r="J75" s="71"/>
      <c r="K75" s="30"/>
      <c r="L75" s="30"/>
      <c r="M75" s="30"/>
      <c r="N75" s="30"/>
      <c r="O75" s="30"/>
      <c r="P75" s="8"/>
      <c r="Q75" s="8"/>
      <c r="R75" s="8"/>
    </row>
    <row r="76" ht="37.5" customHeight="1">
      <c r="A76" s="97"/>
      <c r="B76" s="97" t="s">
        <v>330</v>
      </c>
      <c r="C76" s="98" t="s">
        <v>331</v>
      </c>
      <c r="D76" s="80">
        <v>175.0</v>
      </c>
      <c r="E76" s="205" t="s">
        <v>332</v>
      </c>
      <c r="F76" s="57">
        <v>0.0</v>
      </c>
      <c r="G76" s="57">
        <v>0.0</v>
      </c>
      <c r="H76" s="67"/>
      <c r="I76" s="59"/>
      <c r="J76" s="71"/>
      <c r="K76" s="30"/>
      <c r="L76" s="30"/>
      <c r="M76" s="30"/>
      <c r="N76" s="30"/>
      <c r="O76" s="30"/>
      <c r="P76" s="8"/>
      <c r="Q76" s="8"/>
      <c r="R76" s="8"/>
    </row>
    <row r="77" ht="24.75" customHeight="1">
      <c r="A77" s="53"/>
      <c r="B77" s="53" t="s">
        <v>335</v>
      </c>
      <c r="C77" s="54" t="s">
        <v>336</v>
      </c>
      <c r="D77" s="55">
        <v>175.0</v>
      </c>
      <c r="E77" s="56" t="s">
        <v>337</v>
      </c>
      <c r="F77" s="57">
        <v>0.0</v>
      </c>
      <c r="G77" s="57">
        <v>0.0</v>
      </c>
      <c r="H77" s="67"/>
      <c r="I77" s="59"/>
      <c r="J77" s="71"/>
      <c r="K77" s="30"/>
      <c r="L77" s="30"/>
      <c r="M77" s="30"/>
      <c r="N77" s="30"/>
      <c r="O77" s="30"/>
      <c r="P77" s="8"/>
      <c r="Q77" s="8"/>
      <c r="R77" s="8"/>
    </row>
    <row r="78" ht="24.75" customHeight="1">
      <c r="A78" s="53"/>
      <c r="B78" s="53" t="s">
        <v>339</v>
      </c>
      <c r="C78" s="54" t="s">
        <v>340</v>
      </c>
      <c r="D78" s="55">
        <v>175.0</v>
      </c>
      <c r="E78" s="56" t="s">
        <v>341</v>
      </c>
      <c r="F78" s="57">
        <v>0.0</v>
      </c>
      <c r="G78" s="57">
        <v>0.0</v>
      </c>
      <c r="H78" s="67"/>
      <c r="I78" s="59"/>
      <c r="J78" s="71"/>
      <c r="K78" s="30"/>
      <c r="L78" s="30"/>
      <c r="M78" s="30"/>
      <c r="N78" s="30"/>
      <c r="O78" s="30"/>
      <c r="P78" s="8"/>
      <c r="Q78" s="8"/>
      <c r="R78" s="8"/>
    </row>
    <row r="79" ht="24.75" customHeight="1">
      <c r="A79" s="97"/>
      <c r="B79" s="97" t="s">
        <v>343</v>
      </c>
      <c r="C79" s="98" t="s">
        <v>344</v>
      </c>
      <c r="D79" s="80"/>
      <c r="E79" s="93" t="s">
        <v>346</v>
      </c>
      <c r="F79" s="57">
        <v>0.0</v>
      </c>
      <c r="G79" s="57">
        <v>0.0</v>
      </c>
      <c r="H79" s="67"/>
      <c r="I79" s="59"/>
      <c r="J79" s="71"/>
      <c r="K79" s="30"/>
      <c r="L79" s="30"/>
      <c r="M79" s="30"/>
      <c r="N79" s="30"/>
      <c r="O79" s="30"/>
      <c r="P79" s="8"/>
      <c r="Q79" s="8"/>
      <c r="R79" s="8"/>
    </row>
    <row r="80" ht="24.75" customHeight="1">
      <c r="A80" s="97"/>
      <c r="B80" s="97" t="s">
        <v>350</v>
      </c>
      <c r="C80" s="98" t="s">
        <v>351</v>
      </c>
      <c r="D80" s="80">
        <v>175.0</v>
      </c>
      <c r="E80" s="93" t="s">
        <v>352</v>
      </c>
      <c r="F80" s="57">
        <v>0.0</v>
      </c>
      <c r="G80" s="57">
        <v>0.0</v>
      </c>
      <c r="H80" s="67"/>
      <c r="I80" s="59"/>
      <c r="J80" s="71"/>
      <c r="K80" s="30"/>
      <c r="L80" s="30"/>
      <c r="M80" s="30"/>
      <c r="N80" s="30"/>
      <c r="O80" s="30"/>
      <c r="P80" s="8"/>
      <c r="Q80" s="8"/>
      <c r="R80" s="8"/>
    </row>
    <row r="81" ht="24.75" customHeight="1">
      <c r="A81" s="53"/>
      <c r="B81" s="53" t="s">
        <v>354</v>
      </c>
      <c r="C81" s="54" t="s">
        <v>355</v>
      </c>
      <c r="D81" s="55">
        <v>175.0</v>
      </c>
      <c r="E81" s="93" t="s">
        <v>356</v>
      </c>
      <c r="F81" s="57">
        <v>0.0</v>
      </c>
      <c r="G81" s="57">
        <v>0.0</v>
      </c>
      <c r="H81" s="67"/>
      <c r="I81" s="59"/>
      <c r="J81" s="71"/>
      <c r="K81" s="30"/>
      <c r="L81" s="30"/>
      <c r="M81" s="30"/>
      <c r="N81" s="30"/>
      <c r="O81" s="30"/>
      <c r="P81" s="8"/>
      <c r="Q81" s="8"/>
      <c r="R81" s="8"/>
    </row>
    <row r="82" ht="24.75" customHeight="1">
      <c r="A82" s="53"/>
      <c r="B82" s="53" t="s">
        <v>358</v>
      </c>
      <c r="C82" s="54" t="s">
        <v>359</v>
      </c>
      <c r="D82" s="55">
        <v>175.0</v>
      </c>
      <c r="E82" s="56" t="s">
        <v>360</v>
      </c>
      <c r="F82" s="57">
        <v>0.0</v>
      </c>
      <c r="G82" s="57">
        <v>0.0</v>
      </c>
      <c r="H82" s="67"/>
      <c r="I82" s="59"/>
      <c r="J82" s="71"/>
      <c r="K82" s="30"/>
      <c r="L82" s="30"/>
      <c r="M82" s="30"/>
      <c r="N82" s="30"/>
      <c r="O82" s="30"/>
      <c r="P82" s="8"/>
      <c r="Q82" s="8"/>
      <c r="R82" s="8"/>
    </row>
    <row r="83" ht="14.25" customHeight="1">
      <c r="A83" s="53"/>
      <c r="B83" s="53" t="s">
        <v>362</v>
      </c>
      <c r="C83" s="54" t="s">
        <v>363</v>
      </c>
      <c r="D83" s="55">
        <v>175.0</v>
      </c>
      <c r="E83" s="56" t="s">
        <v>364</v>
      </c>
      <c r="F83" s="57">
        <v>0.0</v>
      </c>
      <c r="G83" s="57">
        <v>0.0</v>
      </c>
      <c r="H83" s="67"/>
      <c r="I83" s="59"/>
      <c r="J83" s="71"/>
      <c r="K83" s="30"/>
      <c r="L83" s="30"/>
      <c r="M83" s="30"/>
      <c r="N83" s="30"/>
      <c r="O83" s="30"/>
      <c r="P83" s="8"/>
      <c r="Q83" s="8"/>
      <c r="R83" s="8"/>
    </row>
    <row r="84" ht="24.75" customHeight="1">
      <c r="A84" s="53"/>
      <c r="B84" s="53" t="s">
        <v>366</v>
      </c>
      <c r="C84" s="54" t="s">
        <v>367</v>
      </c>
      <c r="D84" s="55">
        <v>175.0</v>
      </c>
      <c r="E84" s="205" t="s">
        <v>368</v>
      </c>
      <c r="F84" s="57">
        <v>0.0</v>
      </c>
      <c r="G84" s="57">
        <v>0.0</v>
      </c>
      <c r="H84" s="67"/>
      <c r="I84" s="59"/>
      <c r="J84" s="71"/>
      <c r="K84" s="30"/>
      <c r="L84" s="30"/>
      <c r="M84" s="30"/>
      <c r="N84" s="30"/>
      <c r="O84" s="30"/>
      <c r="P84" s="8"/>
      <c r="Q84" s="8"/>
      <c r="R84" s="8"/>
    </row>
    <row r="85" ht="14.25" customHeight="1">
      <c r="A85" s="53"/>
      <c r="B85" s="116" t="s">
        <v>370</v>
      </c>
      <c r="C85" s="54" t="s">
        <v>371</v>
      </c>
      <c r="D85" s="55">
        <v>102.0</v>
      </c>
      <c r="E85" s="218" t="s">
        <v>372</v>
      </c>
      <c r="F85" s="117">
        <v>66.78</v>
      </c>
      <c r="G85" s="57">
        <v>0.0</v>
      </c>
      <c r="H85" s="67"/>
      <c r="I85" s="59"/>
      <c r="J85" s="71"/>
      <c r="K85" s="30"/>
      <c r="L85" s="30"/>
      <c r="M85" s="30"/>
      <c r="N85" s="30"/>
      <c r="O85" s="30"/>
      <c r="P85" s="30"/>
      <c r="Q85" s="30"/>
      <c r="R85" s="30"/>
    </row>
    <row r="86" ht="24.75" customHeight="1">
      <c r="A86" s="53"/>
      <c r="B86" s="53" t="s">
        <v>374</v>
      </c>
      <c r="C86" s="54" t="s">
        <v>375</v>
      </c>
      <c r="D86" s="55">
        <v>175.0</v>
      </c>
      <c r="E86" s="218" t="s">
        <v>376</v>
      </c>
      <c r="F86" s="117">
        <v>3144.15</v>
      </c>
      <c r="G86" s="287">
        <v>2202.56</v>
      </c>
      <c r="H86" s="289">
        <v>555.13</v>
      </c>
      <c r="I86" s="59"/>
      <c r="J86" s="71"/>
      <c r="K86" s="30"/>
      <c r="L86" s="30"/>
      <c r="M86" s="30"/>
      <c r="N86" s="30"/>
      <c r="O86" s="30"/>
      <c r="P86" s="30"/>
      <c r="Q86" s="30"/>
      <c r="R86" s="30"/>
    </row>
    <row r="87" ht="24.75" customHeight="1">
      <c r="A87" s="53"/>
      <c r="B87" s="291" t="s">
        <v>374</v>
      </c>
      <c r="C87" s="292" t="s">
        <v>379</v>
      </c>
      <c r="D87" s="294">
        <v>175.0</v>
      </c>
      <c r="E87" s="295" t="s">
        <v>380</v>
      </c>
      <c r="F87" s="57">
        <v>3024.5</v>
      </c>
      <c r="G87" s="57">
        <v>2202.56</v>
      </c>
      <c r="H87" s="64">
        <v>1046.75</v>
      </c>
      <c r="I87" s="59"/>
      <c r="J87" s="71"/>
      <c r="K87" s="30"/>
      <c r="L87" s="30"/>
      <c r="M87" s="30"/>
      <c r="N87" s="30"/>
      <c r="O87" s="30"/>
      <c r="P87" s="30"/>
      <c r="Q87" s="30"/>
      <c r="R87" s="30"/>
    </row>
    <row r="88" ht="24.75" customHeight="1">
      <c r="A88" s="53"/>
      <c r="B88" s="291" t="s">
        <v>374</v>
      </c>
      <c r="C88" s="292" t="s">
        <v>382</v>
      </c>
      <c r="D88" s="294">
        <v>175.0</v>
      </c>
      <c r="E88" s="295" t="s">
        <v>383</v>
      </c>
      <c r="F88" s="298">
        <v>0.0</v>
      </c>
      <c r="G88" s="298">
        <v>1000.0</v>
      </c>
      <c r="H88" s="67"/>
      <c r="I88" s="59"/>
      <c r="J88" s="71"/>
      <c r="K88" s="30"/>
      <c r="L88" s="30"/>
      <c r="M88" s="30"/>
      <c r="N88" s="30"/>
      <c r="O88" s="30"/>
      <c r="P88" s="30"/>
      <c r="Q88" s="30"/>
      <c r="R88" s="30"/>
    </row>
    <row r="89" ht="24.75" customHeight="1">
      <c r="A89" s="53"/>
      <c r="B89" s="53" t="s">
        <v>385</v>
      </c>
      <c r="C89" s="54" t="s">
        <v>386</v>
      </c>
      <c r="D89" s="55">
        <v>175.0</v>
      </c>
      <c r="E89" s="218" t="s">
        <v>387</v>
      </c>
      <c r="F89" s="57">
        <v>0.0</v>
      </c>
      <c r="G89" s="117">
        <v>571.79</v>
      </c>
      <c r="H89" s="67"/>
      <c r="I89" s="59"/>
      <c r="J89" s="71"/>
      <c r="K89" s="30"/>
      <c r="L89" s="30"/>
      <c r="M89" s="30"/>
      <c r="N89" s="30"/>
      <c r="O89" s="30"/>
      <c r="P89" s="30"/>
      <c r="Q89" s="30"/>
      <c r="R89" s="30"/>
    </row>
    <row r="90" ht="24.75" customHeight="1">
      <c r="A90" s="53"/>
      <c r="B90" s="53" t="s">
        <v>388</v>
      </c>
      <c r="C90" s="54" t="s">
        <v>389</v>
      </c>
      <c r="D90" s="55">
        <v>175.0</v>
      </c>
      <c r="E90" s="218" t="s">
        <v>390</v>
      </c>
      <c r="F90" s="57">
        <v>0.0</v>
      </c>
      <c r="G90" s="117">
        <v>812.61</v>
      </c>
      <c r="H90" s="67"/>
      <c r="I90" s="59"/>
      <c r="J90" s="71"/>
      <c r="K90" s="30"/>
      <c r="L90" s="30"/>
      <c r="M90" s="30"/>
      <c r="N90" s="30"/>
      <c r="O90" s="30"/>
      <c r="P90" s="30"/>
      <c r="Q90" s="30"/>
      <c r="R90" s="30"/>
    </row>
    <row r="91" ht="24.75" customHeight="1">
      <c r="A91" s="53"/>
      <c r="B91" s="53" t="s">
        <v>391</v>
      </c>
      <c r="C91" s="54" t="s">
        <v>392</v>
      </c>
      <c r="D91" s="55">
        <v>175.0</v>
      </c>
      <c r="E91" s="218" t="s">
        <v>393</v>
      </c>
      <c r="F91" s="57">
        <v>0.0</v>
      </c>
      <c r="G91" s="85"/>
      <c r="H91" s="67"/>
      <c r="I91" s="59"/>
      <c r="J91" s="71"/>
      <c r="K91" s="30"/>
      <c r="L91" s="30"/>
      <c r="M91" s="30"/>
      <c r="N91" s="30"/>
      <c r="O91" s="30"/>
      <c r="P91" s="30"/>
      <c r="Q91" s="30"/>
      <c r="R91" s="30"/>
    </row>
    <row r="92" ht="24.75" customHeight="1">
      <c r="A92" s="53"/>
      <c r="B92" s="53" t="s">
        <v>391</v>
      </c>
      <c r="C92" s="54" t="s">
        <v>392</v>
      </c>
      <c r="D92" s="55">
        <v>175.0</v>
      </c>
      <c r="E92" s="218" t="s">
        <v>394</v>
      </c>
      <c r="F92" s="57">
        <v>0.0</v>
      </c>
      <c r="G92" s="85"/>
      <c r="H92" s="67"/>
      <c r="I92" s="59"/>
      <c r="J92" s="71"/>
      <c r="K92" s="30"/>
      <c r="L92" s="30"/>
      <c r="M92" s="30"/>
      <c r="N92" s="30"/>
      <c r="O92" s="30"/>
      <c r="P92" s="30"/>
      <c r="Q92" s="30"/>
      <c r="R92" s="30"/>
    </row>
    <row r="93" ht="24.75" customHeight="1">
      <c r="A93" s="53"/>
      <c r="B93" s="53" t="s">
        <v>391</v>
      </c>
      <c r="C93" s="54" t="s">
        <v>392</v>
      </c>
      <c r="D93" s="55">
        <v>175.0</v>
      </c>
      <c r="E93" s="218" t="s">
        <v>396</v>
      </c>
      <c r="F93" s="57">
        <v>0.0</v>
      </c>
      <c r="G93" s="85"/>
      <c r="H93" s="67"/>
      <c r="I93" s="59"/>
      <c r="J93" s="71"/>
      <c r="K93" s="30"/>
      <c r="L93" s="30"/>
      <c r="M93" s="30"/>
      <c r="N93" s="30"/>
      <c r="O93" s="30"/>
      <c r="P93" s="30"/>
      <c r="Q93" s="30"/>
      <c r="R93" s="30"/>
    </row>
    <row r="94" ht="24.75" customHeight="1">
      <c r="A94" s="53"/>
      <c r="B94" s="216" t="s">
        <v>294</v>
      </c>
      <c r="C94" s="54" t="s">
        <v>295</v>
      </c>
      <c r="D94" s="55">
        <v>175.0</v>
      </c>
      <c r="E94" s="218" t="s">
        <v>398</v>
      </c>
      <c r="F94" s="57">
        <v>0.0</v>
      </c>
      <c r="G94" s="85"/>
      <c r="H94" s="67"/>
      <c r="I94" s="59"/>
      <c r="J94" s="71"/>
      <c r="K94" s="30"/>
      <c r="L94" s="30"/>
      <c r="M94" s="30"/>
      <c r="N94" s="30"/>
      <c r="O94" s="30"/>
      <c r="P94" s="30"/>
      <c r="Q94" s="30"/>
      <c r="R94" s="30"/>
    </row>
    <row r="95" ht="24.75" customHeight="1">
      <c r="A95" s="53"/>
      <c r="B95" s="53" t="s">
        <v>108</v>
      </c>
      <c r="C95" s="54" t="s">
        <v>399</v>
      </c>
      <c r="D95" s="55">
        <v>175.0</v>
      </c>
      <c r="E95" s="218" t="s">
        <v>400</v>
      </c>
      <c r="F95" s="117">
        <v>4979.08</v>
      </c>
      <c r="G95" s="57">
        <v>0.0</v>
      </c>
      <c r="H95" s="67"/>
      <c r="I95" s="59"/>
      <c r="J95" s="71"/>
      <c r="K95" s="30"/>
      <c r="L95" s="30"/>
      <c r="M95" s="30"/>
      <c r="N95" s="30"/>
      <c r="O95" s="30"/>
      <c r="P95" s="30"/>
      <c r="Q95" s="30"/>
      <c r="R95" s="30"/>
    </row>
    <row r="96" ht="24.75" customHeight="1">
      <c r="A96" s="53"/>
      <c r="B96" s="291" t="s">
        <v>401</v>
      </c>
      <c r="C96" s="292" t="s">
        <v>402</v>
      </c>
      <c r="D96" s="294">
        <v>175.0</v>
      </c>
      <c r="E96" s="310" t="s">
        <v>403</v>
      </c>
      <c r="F96" s="57">
        <v>0.0</v>
      </c>
      <c r="G96" s="85"/>
      <c r="H96" s="67"/>
      <c r="I96" s="59"/>
      <c r="J96" s="71"/>
      <c r="K96" s="30"/>
      <c r="L96" s="30"/>
      <c r="M96" s="30"/>
      <c r="N96" s="30"/>
      <c r="O96" s="30"/>
      <c r="P96" s="30"/>
      <c r="Q96" s="30"/>
      <c r="R96" s="30"/>
    </row>
    <row r="97" ht="24.75" customHeight="1">
      <c r="A97" s="53"/>
      <c r="B97" s="97" t="s">
        <v>404</v>
      </c>
      <c r="C97" s="98" t="s">
        <v>405</v>
      </c>
      <c r="D97" s="97">
        <v>75.0</v>
      </c>
      <c r="E97" s="20" t="s">
        <v>406</v>
      </c>
      <c r="F97" s="57">
        <v>0.0</v>
      </c>
      <c r="G97" s="85"/>
      <c r="H97" s="67"/>
      <c r="I97" s="59"/>
      <c r="J97" s="71"/>
      <c r="K97" s="30"/>
      <c r="L97" s="30"/>
      <c r="M97" s="30"/>
      <c r="N97" s="30"/>
      <c r="O97" s="30"/>
      <c r="P97" s="30"/>
      <c r="Q97" s="30"/>
      <c r="R97" s="30"/>
    </row>
    <row r="98" ht="15.0" customHeight="1">
      <c r="A98" s="311" t="s">
        <v>407</v>
      </c>
      <c r="B98" s="312"/>
      <c r="C98" s="312"/>
      <c r="D98" s="312"/>
      <c r="E98" s="313"/>
      <c r="F98" s="314">
        <f>SUM(F14:F97)</f>
        <v>57345.57</v>
      </c>
      <c r="G98" s="314">
        <f>SUM(G14:G95)</f>
        <v>49255.81</v>
      </c>
      <c r="H98" s="315">
        <f>SUM(H14:H97)</f>
        <v>13056.01</v>
      </c>
      <c r="I98" s="316"/>
      <c r="J98" s="317"/>
      <c r="K98" s="318"/>
      <c r="L98" s="319"/>
      <c r="M98" s="30"/>
      <c r="N98" s="30"/>
      <c r="O98" s="30"/>
      <c r="P98" s="30"/>
      <c r="Q98" s="30"/>
      <c r="R98" s="30"/>
    </row>
    <row r="99" ht="14.25" customHeight="1">
      <c r="A99" s="320"/>
      <c r="B99" s="320"/>
      <c r="C99" s="320"/>
      <c r="D99" s="320"/>
      <c r="E99" s="320"/>
      <c r="F99" s="321"/>
      <c r="G99" s="322"/>
      <c r="H99" s="323"/>
      <c r="I99" s="324"/>
      <c r="J99" s="30"/>
      <c r="K99" s="86"/>
      <c r="L99" s="325"/>
      <c r="M99" s="30"/>
      <c r="N99" s="30"/>
      <c r="O99" s="30"/>
      <c r="P99" s="30"/>
      <c r="Q99" s="30"/>
      <c r="R99" s="30"/>
    </row>
    <row r="100" ht="15.0" customHeight="1">
      <c r="A100" s="320"/>
      <c r="B100" s="320"/>
      <c r="C100" s="320"/>
      <c r="D100" s="320"/>
      <c r="E100" s="320"/>
      <c r="F100" s="321"/>
      <c r="G100" s="322"/>
      <c r="H100" s="323"/>
      <c r="I100" s="324"/>
      <c r="J100" s="30"/>
      <c r="K100" s="30"/>
      <c r="L100" s="30"/>
      <c r="M100" s="30"/>
      <c r="N100" s="47"/>
      <c r="O100" s="8"/>
      <c r="P100" s="30"/>
      <c r="Q100" s="30"/>
      <c r="R100" s="30"/>
    </row>
    <row r="101" ht="24.75" customHeight="1">
      <c r="A101" s="326"/>
      <c r="B101" s="327" t="s">
        <v>408</v>
      </c>
      <c r="C101" s="328" t="s">
        <v>171</v>
      </c>
      <c r="D101" s="329">
        <v>3.11110101E8</v>
      </c>
      <c r="E101" s="330" t="s">
        <v>409</v>
      </c>
      <c r="F101" s="331">
        <f>F98</f>
        <v>57345.57</v>
      </c>
      <c r="G101" s="332"/>
      <c r="H101" s="333"/>
      <c r="I101" s="334"/>
      <c r="J101" s="30"/>
      <c r="K101" s="30"/>
      <c r="L101" s="30"/>
      <c r="M101" s="30"/>
      <c r="N101" s="47"/>
      <c r="O101" s="8"/>
      <c r="P101" s="30"/>
      <c r="Q101" s="30"/>
      <c r="R101" s="30"/>
    </row>
    <row r="102" ht="14.25" customHeight="1">
      <c r="A102" s="335"/>
      <c r="B102" s="336" t="s">
        <v>408</v>
      </c>
      <c r="C102" s="337" t="s">
        <v>167</v>
      </c>
      <c r="D102" s="338">
        <v>3.11110131E8</v>
      </c>
      <c r="E102" s="339" t="s">
        <v>410</v>
      </c>
      <c r="F102" s="340">
        <v>0.0</v>
      </c>
      <c r="G102" s="341">
        <v>0.0</v>
      </c>
      <c r="H102" s="342"/>
      <c r="I102" s="343"/>
      <c r="J102" s="30"/>
      <c r="K102" s="30"/>
      <c r="L102" s="30"/>
      <c r="M102" s="30"/>
      <c r="N102" s="47"/>
      <c r="O102" s="8"/>
      <c r="P102" s="30"/>
      <c r="Q102" s="30"/>
      <c r="R102" s="30"/>
    </row>
    <row r="103" ht="37.5" customHeight="1">
      <c r="A103" s="335"/>
      <c r="B103" s="336" t="s">
        <v>408</v>
      </c>
      <c r="C103" s="337" t="s">
        <v>411</v>
      </c>
      <c r="D103" s="338">
        <v>3.11210401E8</v>
      </c>
      <c r="E103" s="339" t="s">
        <v>412</v>
      </c>
      <c r="F103" s="344">
        <f>F131</f>
        <v>9974.28</v>
      </c>
      <c r="G103" s="341"/>
      <c r="H103" s="342"/>
      <c r="I103" s="343"/>
      <c r="J103" s="30"/>
      <c r="K103" s="30"/>
      <c r="L103" s="30"/>
      <c r="M103" s="47"/>
      <c r="N103" s="8"/>
      <c r="O103" s="8"/>
      <c r="P103" s="30"/>
      <c r="Q103" s="30"/>
      <c r="R103" s="30"/>
    </row>
    <row r="104" ht="14.25" customHeight="1">
      <c r="A104" s="335"/>
      <c r="B104" s="336" t="s">
        <v>408</v>
      </c>
      <c r="C104" s="337" t="s">
        <v>167</v>
      </c>
      <c r="D104" s="338">
        <v>3.11210131E8</v>
      </c>
      <c r="E104" s="345" t="s">
        <v>413</v>
      </c>
      <c r="F104" s="346">
        <f>G98</f>
        <v>49255.81</v>
      </c>
      <c r="G104" s="341">
        <v>0.0</v>
      </c>
      <c r="H104" s="342"/>
      <c r="I104" s="343"/>
      <c r="J104" s="30"/>
      <c r="K104" s="30"/>
      <c r="L104" s="47"/>
      <c r="M104" s="8"/>
      <c r="N104" s="8"/>
      <c r="O104" s="8"/>
      <c r="P104" s="8"/>
      <c r="Q104" s="8"/>
      <c r="R104" s="8"/>
    </row>
    <row r="105" ht="15.0" customHeight="1">
      <c r="A105" s="347"/>
      <c r="B105" s="348" t="s">
        <v>408</v>
      </c>
      <c r="C105" s="349" t="s">
        <v>164</v>
      </c>
      <c r="D105" s="350" t="s">
        <v>90</v>
      </c>
      <c r="E105" s="351" t="s">
        <v>414</v>
      </c>
      <c r="F105" s="352">
        <f>H98</f>
        <v>13056.01</v>
      </c>
      <c r="G105" s="353">
        <v>0.0</v>
      </c>
      <c r="H105" s="354"/>
      <c r="I105" s="355"/>
      <c r="J105" s="30"/>
      <c r="K105" s="30"/>
      <c r="L105" s="47"/>
      <c r="M105" s="8"/>
      <c r="N105" s="8"/>
      <c r="O105" s="8"/>
      <c r="P105" s="8"/>
      <c r="Q105" s="8"/>
      <c r="R105" s="8"/>
    </row>
    <row r="106" ht="14.25" customHeight="1">
      <c r="A106" s="8"/>
      <c r="B106" s="356"/>
      <c r="C106" s="356"/>
      <c r="D106" s="356"/>
      <c r="E106" s="357"/>
      <c r="F106" s="357"/>
      <c r="G106" s="358"/>
      <c r="H106" s="359"/>
      <c r="I106" s="360"/>
      <c r="J106" s="30"/>
      <c r="K106" s="30"/>
      <c r="L106" s="30"/>
      <c r="M106" s="8"/>
      <c r="N106" s="8"/>
      <c r="O106" s="8"/>
      <c r="P106" s="8"/>
      <c r="Q106" s="8"/>
      <c r="R106" s="8"/>
    </row>
    <row r="107" ht="15.0" customHeight="1">
      <c r="A107" s="356"/>
      <c r="B107" s="8"/>
      <c r="C107" s="8"/>
      <c r="D107" s="361" t="s">
        <v>415</v>
      </c>
      <c r="E107" s="312"/>
      <c r="F107" s="312"/>
      <c r="G107" s="362"/>
      <c r="H107" s="8"/>
      <c r="I107" s="30"/>
      <c r="J107" s="8"/>
      <c r="K107" s="30"/>
      <c r="L107" s="30"/>
      <c r="M107" s="8"/>
      <c r="N107" s="8"/>
      <c r="O107" s="8"/>
      <c r="P107" s="8"/>
      <c r="Q107" s="8"/>
      <c r="R107" s="8"/>
    </row>
    <row r="108" ht="15.0" customHeight="1">
      <c r="A108" s="16" t="s">
        <v>416</v>
      </c>
      <c r="B108" s="16" t="s">
        <v>417</v>
      </c>
      <c r="C108" s="16" t="s">
        <v>66</v>
      </c>
      <c r="D108" s="16" t="s">
        <v>67</v>
      </c>
      <c r="E108" s="16" t="s">
        <v>22</v>
      </c>
      <c r="F108" s="16" t="s">
        <v>418</v>
      </c>
      <c r="G108" s="16" t="s">
        <v>419</v>
      </c>
      <c r="H108" s="16" t="s">
        <v>71</v>
      </c>
      <c r="I108" s="16" t="s">
        <v>72</v>
      </c>
      <c r="J108" s="17"/>
      <c r="K108" s="30"/>
      <c r="L108" s="8"/>
      <c r="M108" s="8"/>
      <c r="N108" s="8"/>
      <c r="O108" s="8"/>
      <c r="P108" s="8"/>
      <c r="Q108" s="8"/>
      <c r="R108" s="8"/>
    </row>
    <row r="109" ht="16.5" customHeight="1">
      <c r="A109" s="363"/>
      <c r="B109" s="364" t="s">
        <v>98</v>
      </c>
      <c r="C109" s="365"/>
      <c r="D109" s="366">
        <v>105.0</v>
      </c>
      <c r="E109" s="367" t="s">
        <v>103</v>
      </c>
      <c r="F109" s="368">
        <v>6747.25</v>
      </c>
      <c r="G109" s="369"/>
      <c r="H109" s="370"/>
      <c r="I109" s="371"/>
      <c r="J109" s="8"/>
      <c r="K109" s="30"/>
      <c r="L109" s="47"/>
      <c r="M109" s="8"/>
      <c r="N109" s="8"/>
      <c r="O109" s="8"/>
      <c r="P109" s="8"/>
      <c r="Q109" s="8"/>
      <c r="R109" s="8"/>
    </row>
    <row r="110" ht="15.75" customHeight="1">
      <c r="A110" s="372"/>
      <c r="B110" s="364" t="s">
        <v>98</v>
      </c>
      <c r="C110" s="365"/>
      <c r="D110" s="366">
        <v>105.0</v>
      </c>
      <c r="E110" s="367" t="s">
        <v>106</v>
      </c>
      <c r="F110" s="373">
        <v>0.0</v>
      </c>
      <c r="G110" s="374"/>
      <c r="H110" s="375"/>
      <c r="I110" s="376"/>
      <c r="J110" s="8"/>
      <c r="K110" s="30"/>
      <c r="L110" s="47"/>
      <c r="M110" s="8"/>
      <c r="N110" s="8"/>
      <c r="O110" s="8"/>
      <c r="P110" s="8"/>
      <c r="Q110" s="8"/>
      <c r="R110" s="8"/>
    </row>
    <row r="111" ht="15.75" customHeight="1">
      <c r="A111" s="377"/>
      <c r="B111" s="378" t="s">
        <v>108</v>
      </c>
      <c r="C111" s="379"/>
      <c r="D111" s="380"/>
      <c r="E111" s="167" t="s">
        <v>25</v>
      </c>
      <c r="F111" s="381">
        <v>0.0</v>
      </c>
      <c r="G111" s="382"/>
      <c r="H111" s="383"/>
      <c r="I111" s="173"/>
      <c r="J111" s="8"/>
      <c r="K111" s="47"/>
      <c r="L111" s="8"/>
      <c r="M111" s="8"/>
      <c r="N111" s="8"/>
      <c r="O111" s="8"/>
      <c r="P111" s="8"/>
      <c r="Q111" s="8"/>
      <c r="R111" s="8"/>
    </row>
    <row r="112" ht="27.0" customHeight="1">
      <c r="A112" s="377"/>
      <c r="B112" s="378" t="s">
        <v>420</v>
      </c>
      <c r="C112" s="90" t="s">
        <v>310</v>
      </c>
      <c r="D112" s="384">
        <v>74.0</v>
      </c>
      <c r="E112" s="385" t="s">
        <v>311</v>
      </c>
      <c r="F112" s="381">
        <v>0.0</v>
      </c>
      <c r="G112" s="382"/>
      <c r="H112" s="383"/>
      <c r="I112" s="173"/>
      <c r="J112" s="8"/>
      <c r="K112" s="8"/>
      <c r="L112" s="47">
        <f>F104-46494.27</f>
        <v>2761.54</v>
      </c>
      <c r="M112" s="8"/>
      <c r="N112" s="8"/>
      <c r="O112" s="8"/>
      <c r="P112" s="8"/>
      <c r="Q112" s="8"/>
      <c r="R112" s="8"/>
    </row>
    <row r="113" ht="27.0" customHeight="1">
      <c r="A113" s="377"/>
      <c r="B113" s="53" t="s">
        <v>421</v>
      </c>
      <c r="C113" s="54" t="s">
        <v>422</v>
      </c>
      <c r="D113" s="55">
        <v>82.0</v>
      </c>
      <c r="E113" s="56" t="s">
        <v>423</v>
      </c>
      <c r="F113" s="381">
        <v>0.0</v>
      </c>
      <c r="G113" s="382"/>
      <c r="H113" s="383"/>
      <c r="I113" s="173"/>
      <c r="J113" s="8"/>
      <c r="K113" s="8"/>
      <c r="L113" s="8"/>
      <c r="M113" s="8"/>
      <c r="N113" s="8"/>
      <c r="O113" s="8"/>
      <c r="P113" s="8"/>
      <c r="Q113" s="8"/>
      <c r="R113" s="8"/>
    </row>
    <row r="114" ht="25.5" customHeight="1">
      <c r="A114" s="377"/>
      <c r="B114" s="378" t="s">
        <v>424</v>
      </c>
      <c r="C114" s="54" t="s">
        <v>425</v>
      </c>
      <c r="D114" s="380">
        <v>102.0</v>
      </c>
      <c r="E114" s="167" t="s">
        <v>160</v>
      </c>
      <c r="F114" s="381">
        <v>0.0</v>
      </c>
      <c r="G114" s="382"/>
      <c r="H114" s="383"/>
      <c r="I114" s="173"/>
      <c r="J114" s="8"/>
      <c r="K114" s="30"/>
      <c r="L114" s="8"/>
      <c r="M114" s="8"/>
      <c r="N114" s="8"/>
      <c r="O114" s="8"/>
      <c r="P114" s="8"/>
      <c r="Q114" s="8"/>
      <c r="R114" s="8"/>
    </row>
    <row r="115" ht="25.5" customHeight="1">
      <c r="A115" s="377"/>
      <c r="B115" s="53" t="s">
        <v>241</v>
      </c>
      <c r="C115" s="54" t="s">
        <v>242</v>
      </c>
      <c r="D115" s="55">
        <v>102.0</v>
      </c>
      <c r="E115" s="56" t="s">
        <v>243</v>
      </c>
      <c r="F115" s="381">
        <v>0.0</v>
      </c>
      <c r="G115" s="382"/>
      <c r="H115" s="383"/>
      <c r="I115" s="173"/>
      <c r="J115" s="8"/>
      <c r="K115" s="30"/>
      <c r="L115" s="8"/>
      <c r="M115" s="8"/>
      <c r="N115" s="8"/>
      <c r="O115" s="8"/>
      <c r="P115" s="8"/>
      <c r="Q115" s="8"/>
      <c r="R115" s="8"/>
    </row>
    <row r="116" ht="25.5" customHeight="1">
      <c r="A116" s="336"/>
      <c r="B116" s="170" t="s">
        <v>214</v>
      </c>
      <c r="C116" s="54" t="s">
        <v>215</v>
      </c>
      <c r="D116" s="55">
        <v>102.0</v>
      </c>
      <c r="E116" s="205" t="s">
        <v>216</v>
      </c>
      <c r="F116" s="381">
        <v>0.0</v>
      </c>
      <c r="G116" s="382"/>
      <c r="H116" s="383"/>
      <c r="I116" s="173"/>
      <c r="J116" s="8"/>
      <c r="K116" s="30"/>
      <c r="L116" s="8"/>
      <c r="M116" s="8"/>
      <c r="N116" s="8"/>
      <c r="O116" s="8"/>
      <c r="P116" s="8"/>
      <c r="Q116" s="8"/>
      <c r="R116" s="8"/>
    </row>
    <row r="117" ht="25.5" customHeight="1">
      <c r="A117" s="336"/>
      <c r="B117" s="53" t="s">
        <v>244</v>
      </c>
      <c r="C117" s="54" t="s">
        <v>245</v>
      </c>
      <c r="D117" s="55">
        <v>102.0</v>
      </c>
      <c r="E117" s="56" t="s">
        <v>246</v>
      </c>
      <c r="F117" s="381">
        <v>0.0</v>
      </c>
      <c r="G117" s="382"/>
      <c r="H117" s="383"/>
      <c r="I117" s="173"/>
      <c r="J117" s="8"/>
      <c r="K117" s="30"/>
      <c r="L117" s="8"/>
      <c r="M117" s="8"/>
      <c r="N117" s="8"/>
      <c r="O117" s="8"/>
      <c r="P117" s="8"/>
      <c r="Q117" s="8"/>
      <c r="R117" s="8"/>
    </row>
    <row r="118" ht="30.0" customHeight="1">
      <c r="A118" s="377"/>
      <c r="B118" s="53" t="s">
        <v>288</v>
      </c>
      <c r="C118" s="54" t="s">
        <v>289</v>
      </c>
      <c r="D118" s="55">
        <v>175.0</v>
      </c>
      <c r="E118" s="205" t="s">
        <v>290</v>
      </c>
      <c r="F118" s="381">
        <v>0.0</v>
      </c>
      <c r="G118" s="382"/>
      <c r="H118" s="383"/>
      <c r="I118" s="173"/>
      <c r="J118" s="8"/>
      <c r="K118" s="47"/>
      <c r="L118" s="8"/>
      <c r="M118" s="8"/>
      <c r="N118" s="8"/>
      <c r="O118" s="8"/>
      <c r="P118" s="8"/>
      <c r="Q118" s="8"/>
      <c r="R118" s="8"/>
    </row>
    <row r="119" ht="32.25" customHeight="1">
      <c r="A119" s="377"/>
      <c r="B119" s="97" t="s">
        <v>426</v>
      </c>
      <c r="C119" s="98" t="s">
        <v>427</v>
      </c>
      <c r="D119" s="80">
        <v>175.0</v>
      </c>
      <c r="E119" s="56" t="s">
        <v>428</v>
      </c>
      <c r="F119" s="381">
        <v>727.03</v>
      </c>
      <c r="G119" s="382"/>
      <c r="H119" s="383"/>
      <c r="I119" s="173"/>
      <c r="J119" s="8"/>
      <c r="K119" s="30"/>
      <c r="L119" s="47"/>
      <c r="M119" s="8"/>
      <c r="N119" s="8"/>
      <c r="O119" s="8"/>
      <c r="P119" s="8"/>
      <c r="Q119" s="8"/>
      <c r="R119" s="8"/>
    </row>
    <row r="120" ht="35.25" customHeight="1">
      <c r="A120" s="377"/>
      <c r="B120" s="53" t="s">
        <v>316</v>
      </c>
      <c r="C120" s="54" t="s">
        <v>317</v>
      </c>
      <c r="D120" s="380">
        <v>175.0</v>
      </c>
      <c r="E120" s="167" t="s">
        <v>319</v>
      </c>
      <c r="F120" s="381">
        <v>0.0</v>
      </c>
      <c r="G120" s="382"/>
      <c r="H120" s="383"/>
      <c r="I120" s="173"/>
      <c r="J120" s="30"/>
      <c r="K120" s="30"/>
      <c r="L120" s="30"/>
      <c r="M120" s="30"/>
      <c r="N120" s="30"/>
      <c r="O120" s="30"/>
      <c r="P120" s="8"/>
      <c r="Q120" s="8"/>
      <c r="R120" s="8"/>
    </row>
    <row r="121" ht="35.25" customHeight="1">
      <c r="A121" s="377"/>
      <c r="B121" s="53" t="s">
        <v>291</v>
      </c>
      <c r="C121" s="54" t="s">
        <v>292</v>
      </c>
      <c r="D121" s="55">
        <v>175.0</v>
      </c>
      <c r="E121" s="56" t="s">
        <v>293</v>
      </c>
      <c r="F121" s="381">
        <v>0.0</v>
      </c>
      <c r="G121" s="382"/>
      <c r="H121" s="383"/>
      <c r="I121" s="173"/>
      <c r="J121" s="30"/>
      <c r="K121" s="30"/>
      <c r="L121" s="30"/>
      <c r="M121" s="30"/>
      <c r="N121" s="30"/>
      <c r="O121" s="30"/>
      <c r="P121" s="8"/>
      <c r="Q121" s="8"/>
      <c r="R121" s="8"/>
    </row>
    <row r="122" ht="27.75" customHeight="1">
      <c r="A122" s="377"/>
      <c r="B122" s="291" t="s">
        <v>374</v>
      </c>
      <c r="C122" s="292" t="s">
        <v>382</v>
      </c>
      <c r="D122" s="294">
        <v>175.0</v>
      </c>
      <c r="E122" s="295" t="s">
        <v>383</v>
      </c>
      <c r="F122" s="386">
        <v>2500.0</v>
      </c>
      <c r="G122" s="382"/>
      <c r="H122" s="383"/>
      <c r="I122" s="173"/>
      <c r="J122" s="30"/>
      <c r="K122" s="30"/>
      <c r="L122" s="30"/>
      <c r="M122" s="30"/>
      <c r="N122" s="30"/>
      <c r="O122" s="30"/>
      <c r="P122" s="8"/>
      <c r="Q122" s="8"/>
      <c r="R122" s="8"/>
    </row>
    <row r="123" ht="24.0" customHeight="1">
      <c r="A123" s="377"/>
      <c r="B123" s="378" t="s">
        <v>429</v>
      </c>
      <c r="C123" s="54" t="s">
        <v>184</v>
      </c>
      <c r="D123" s="380">
        <v>102.0</v>
      </c>
      <c r="E123" s="167" t="s">
        <v>430</v>
      </c>
      <c r="F123" s="381">
        <v>0.0</v>
      </c>
      <c r="G123" s="382"/>
      <c r="H123" s="383"/>
      <c r="I123" s="173"/>
      <c r="J123" s="30"/>
      <c r="K123" s="30"/>
      <c r="L123" s="30"/>
      <c r="M123" s="30"/>
      <c r="N123" s="30"/>
      <c r="O123" s="30"/>
      <c r="P123" s="8"/>
      <c r="Q123" s="8"/>
      <c r="R123" s="8"/>
    </row>
    <row r="124" ht="24.0" customHeight="1">
      <c r="A124" s="377"/>
      <c r="B124" s="387" t="s">
        <v>206</v>
      </c>
      <c r="C124" s="54" t="s">
        <v>208</v>
      </c>
      <c r="D124" s="380">
        <v>175.0</v>
      </c>
      <c r="E124" s="167" t="s">
        <v>431</v>
      </c>
      <c r="F124" s="381">
        <v>0.0</v>
      </c>
      <c r="G124" s="382"/>
      <c r="H124" s="383"/>
      <c r="I124" s="173"/>
      <c r="J124" s="30"/>
      <c r="K124" s="30"/>
      <c r="L124" s="30"/>
      <c r="M124" s="30"/>
      <c r="N124" s="30"/>
      <c r="O124" s="30"/>
      <c r="P124" s="8"/>
      <c r="Q124" s="8"/>
      <c r="R124" s="8"/>
    </row>
    <row r="125" ht="26.25" customHeight="1">
      <c r="A125" s="377"/>
      <c r="B125" s="387" t="s">
        <v>432</v>
      </c>
      <c r="C125" s="388"/>
      <c r="D125" s="55"/>
      <c r="E125" s="167" t="s">
        <v>433</v>
      </c>
      <c r="F125" s="389">
        <v>0.0</v>
      </c>
      <c r="G125" s="390"/>
      <c r="H125" s="383"/>
      <c r="I125" s="173"/>
      <c r="J125" s="8"/>
      <c r="K125" s="8"/>
      <c r="L125" s="30"/>
      <c r="M125" s="30"/>
      <c r="N125" s="30"/>
      <c r="O125" s="30"/>
      <c r="P125" s="8"/>
      <c r="Q125" s="8"/>
      <c r="R125" s="8"/>
    </row>
    <row r="126" ht="26.25" customHeight="1">
      <c r="A126" s="336"/>
      <c r="B126" s="391" t="s">
        <v>434</v>
      </c>
      <c r="C126" s="53"/>
      <c r="D126" s="55"/>
      <c r="E126" s="56" t="s">
        <v>435</v>
      </c>
      <c r="F126" s="389">
        <v>0.0</v>
      </c>
      <c r="G126" s="390"/>
      <c r="H126" s="383"/>
      <c r="I126" s="173"/>
      <c r="J126" s="8"/>
      <c r="K126" s="8"/>
      <c r="L126" s="30"/>
      <c r="M126" s="30"/>
      <c r="N126" s="30"/>
      <c r="O126" s="30"/>
      <c r="P126" s="8"/>
      <c r="Q126" s="8"/>
      <c r="R126" s="8"/>
    </row>
    <row r="127" ht="26.25" customHeight="1">
      <c r="A127" s="392"/>
      <c r="B127" s="387" t="s">
        <v>436</v>
      </c>
      <c r="C127" s="54" t="s">
        <v>437</v>
      </c>
      <c r="D127" s="55">
        <v>102.0</v>
      </c>
      <c r="E127" s="167" t="s">
        <v>438</v>
      </c>
      <c r="F127" s="389">
        <v>0.0</v>
      </c>
      <c r="G127" s="390"/>
      <c r="H127" s="383"/>
      <c r="I127" s="173"/>
      <c r="J127" s="8"/>
      <c r="K127" s="30"/>
      <c r="L127" s="30"/>
      <c r="M127" s="47"/>
      <c r="N127" s="8"/>
      <c r="O127" s="47"/>
      <c r="P127" s="8"/>
      <c r="Q127" s="8"/>
      <c r="R127" s="8"/>
    </row>
    <row r="128" ht="26.25" customHeight="1">
      <c r="A128" s="392"/>
      <c r="B128" s="387" t="s">
        <v>436</v>
      </c>
      <c r="C128" s="54" t="s">
        <v>437</v>
      </c>
      <c r="D128" s="55">
        <v>102.0</v>
      </c>
      <c r="E128" s="167" t="s">
        <v>439</v>
      </c>
      <c r="F128" s="389">
        <v>0.0</v>
      </c>
      <c r="G128" s="390"/>
      <c r="H128" s="383"/>
      <c r="I128" s="173"/>
      <c r="J128" s="8"/>
      <c r="K128" s="30"/>
      <c r="L128" s="30"/>
      <c r="M128" s="47"/>
      <c r="N128" s="8"/>
      <c r="O128" s="8"/>
      <c r="P128" s="8"/>
      <c r="Q128" s="8"/>
      <c r="R128" s="8"/>
    </row>
    <row r="129" ht="26.25" customHeight="1">
      <c r="A129" s="393"/>
      <c r="B129" s="387" t="s">
        <v>436</v>
      </c>
      <c r="C129" s="54" t="s">
        <v>437</v>
      </c>
      <c r="D129" s="55">
        <v>102.0</v>
      </c>
      <c r="E129" s="218" t="s">
        <v>440</v>
      </c>
      <c r="F129" s="389">
        <v>0.0</v>
      </c>
      <c r="G129" s="390"/>
      <c r="H129" s="383"/>
      <c r="I129" s="173"/>
      <c r="J129" s="8"/>
      <c r="K129" s="318"/>
      <c r="L129" s="30"/>
      <c r="M129" s="30"/>
      <c r="N129" s="8"/>
      <c r="O129" s="8"/>
      <c r="P129" s="8"/>
      <c r="Q129" s="8"/>
      <c r="R129" s="8"/>
    </row>
    <row r="130" ht="51.0" customHeight="1">
      <c r="A130" s="394"/>
      <c r="B130" s="395" t="s">
        <v>441</v>
      </c>
      <c r="C130" s="396" t="s">
        <v>442</v>
      </c>
      <c r="D130" s="397">
        <v>102.0</v>
      </c>
      <c r="E130" s="398" t="s">
        <v>443</v>
      </c>
      <c r="F130" s="399"/>
      <c r="G130" s="400"/>
      <c r="H130" s="401"/>
      <c r="I130" s="402"/>
      <c r="J130" s="8"/>
      <c r="K130" s="318"/>
      <c r="L130" s="86"/>
      <c r="M130" s="30"/>
      <c r="N130" s="8"/>
      <c r="O130" s="8"/>
      <c r="P130" s="8"/>
      <c r="Q130" s="8"/>
      <c r="R130" s="8"/>
    </row>
    <row r="131" ht="16.5" customHeight="1">
      <c r="A131" s="403">
        <v>510289.0</v>
      </c>
      <c r="B131" s="403" t="s">
        <v>444</v>
      </c>
      <c r="C131" s="404" t="s">
        <v>31</v>
      </c>
      <c r="D131" s="405"/>
      <c r="E131" s="406" t="s">
        <v>83</v>
      </c>
      <c r="F131" s="407">
        <f>SUM(F109:F130)</f>
        <v>9974.28</v>
      </c>
      <c r="G131" s="408"/>
      <c r="H131" s="409"/>
      <c r="I131" s="410"/>
      <c r="J131" s="307">
        <f>F98+G98+F131</f>
        <v>116575.66</v>
      </c>
      <c r="K131" s="30"/>
      <c r="L131" s="30"/>
      <c r="M131" s="30"/>
      <c r="N131" s="30"/>
      <c r="O131" s="8"/>
      <c r="P131" s="8"/>
      <c r="Q131" s="8"/>
      <c r="R131" s="8"/>
    </row>
    <row r="132" ht="15.75" customHeight="1">
      <c r="A132" s="8"/>
      <c r="B132" s="411"/>
      <c r="C132" s="411"/>
      <c r="D132" s="411"/>
      <c r="E132" s="412"/>
      <c r="F132" s="412"/>
      <c r="G132" s="412"/>
      <c r="H132" s="413"/>
      <c r="I132" s="8"/>
      <c r="J132" s="30"/>
      <c r="K132" s="30"/>
      <c r="L132" s="30"/>
      <c r="M132" s="30"/>
      <c r="N132" s="8"/>
      <c r="O132" s="8"/>
      <c r="P132" s="8"/>
      <c r="Q132" s="8"/>
      <c r="R132" s="8"/>
    </row>
    <row r="133" ht="14.25" customHeight="1">
      <c r="A133" s="411"/>
      <c r="B133" s="285"/>
      <c r="C133" s="285"/>
      <c r="D133" s="285"/>
      <c r="E133" s="414" t="s">
        <v>445</v>
      </c>
      <c r="F133" s="414"/>
      <c r="G133" s="415"/>
      <c r="H133" s="8"/>
      <c r="I133" s="8"/>
      <c r="J133" s="30"/>
      <c r="K133" s="416"/>
      <c r="L133" s="30"/>
      <c r="M133" s="30"/>
      <c r="N133" s="47"/>
      <c r="O133" s="8"/>
      <c r="P133" s="8"/>
      <c r="Q133" s="8"/>
      <c r="R133" s="8"/>
    </row>
    <row r="134" ht="14.25" customHeight="1">
      <c r="A134" s="411"/>
      <c r="B134" s="285"/>
      <c r="C134" s="285"/>
      <c r="D134" s="285"/>
      <c r="E134" s="417"/>
      <c r="F134" s="417"/>
      <c r="G134" s="285"/>
      <c r="H134" s="8"/>
      <c r="I134" s="8"/>
      <c r="J134" s="30"/>
      <c r="K134" s="418"/>
      <c r="L134" s="30"/>
      <c r="M134" s="30"/>
      <c r="N134" s="8"/>
      <c r="O134" s="8"/>
      <c r="P134" s="8"/>
      <c r="Q134" s="8"/>
      <c r="R134" s="8"/>
    </row>
    <row r="135" ht="14.25" customHeight="1">
      <c r="A135" s="419" t="s">
        <v>446</v>
      </c>
      <c r="B135" s="420"/>
      <c r="C135" s="420"/>
      <c r="D135" s="420"/>
      <c r="E135" s="8"/>
      <c r="F135" s="8"/>
      <c r="G135" s="8"/>
      <c r="H135" s="8"/>
      <c r="I135" s="8"/>
      <c r="J135" s="30"/>
      <c r="K135" s="30"/>
      <c r="L135" s="30"/>
      <c r="M135" s="30"/>
      <c r="N135" s="8"/>
      <c r="O135" s="8"/>
      <c r="P135" s="8"/>
      <c r="Q135" s="8"/>
      <c r="R135" s="8"/>
    </row>
    <row r="136" ht="14.25" customHeight="1">
      <c r="A136" s="421"/>
      <c r="B136" s="285"/>
      <c r="C136" s="285"/>
      <c r="D136" s="285"/>
      <c r="E136" s="285"/>
      <c r="F136" s="285"/>
      <c r="G136" s="8"/>
      <c r="H136" s="8"/>
      <c r="I136" s="8"/>
      <c r="J136" s="30"/>
      <c r="K136" s="47"/>
      <c r="L136" s="30"/>
      <c r="M136" s="30"/>
      <c r="N136" s="8"/>
      <c r="O136" s="8"/>
      <c r="P136" s="8"/>
      <c r="Q136" s="8"/>
      <c r="R136" s="8"/>
    </row>
    <row r="137" ht="15.0" customHeight="1">
      <c r="A137" s="422" t="s">
        <v>447</v>
      </c>
      <c r="B137" s="285"/>
      <c r="C137" s="285"/>
      <c r="D137" s="285"/>
      <c r="E137" s="8"/>
      <c r="F137" s="8"/>
      <c r="G137" s="8"/>
      <c r="H137" s="8"/>
      <c r="I137" s="8"/>
      <c r="J137" s="30"/>
      <c r="K137" s="30"/>
      <c r="L137" s="30"/>
      <c r="M137" s="30"/>
      <c r="N137" s="8"/>
      <c r="O137" s="8"/>
      <c r="P137" s="8"/>
      <c r="Q137" s="8"/>
      <c r="R137" s="8"/>
    </row>
    <row r="138" ht="29.25" customHeight="1">
      <c r="A138" s="16" t="s">
        <v>17</v>
      </c>
      <c r="B138" s="16" t="s">
        <v>417</v>
      </c>
      <c r="C138" s="16" t="s">
        <v>19</v>
      </c>
      <c r="D138" s="16" t="s">
        <v>448</v>
      </c>
      <c r="E138" s="16" t="s">
        <v>22</v>
      </c>
      <c r="F138" s="16" t="s">
        <v>449</v>
      </c>
      <c r="G138" s="16" t="s">
        <v>419</v>
      </c>
      <c r="H138" s="16" t="s">
        <v>450</v>
      </c>
      <c r="I138" s="17"/>
      <c r="J138" s="18"/>
      <c r="K138" s="30"/>
      <c r="L138" s="30"/>
      <c r="M138" s="8"/>
      <c r="N138" s="8"/>
      <c r="O138" s="8"/>
      <c r="P138" s="8"/>
      <c r="Q138" s="8"/>
      <c r="R138" s="8"/>
    </row>
    <row r="139" ht="29.25" customHeight="1">
      <c r="A139" s="423"/>
      <c r="B139" s="382" t="s">
        <v>98</v>
      </c>
      <c r="C139" s="424" t="s">
        <v>451</v>
      </c>
      <c r="D139" s="425"/>
      <c r="E139" s="382" t="s">
        <v>103</v>
      </c>
      <c r="F139" s="426">
        <v>16690.74</v>
      </c>
      <c r="G139" s="424"/>
      <c r="H139" s="427"/>
      <c r="I139" s="285"/>
      <c r="J139" s="30"/>
      <c r="K139" s="30"/>
      <c r="L139" s="30"/>
      <c r="M139" s="8"/>
      <c r="N139" s="8"/>
      <c r="O139" s="8"/>
      <c r="P139" s="8"/>
      <c r="Q139" s="8"/>
      <c r="R139" s="8"/>
    </row>
    <row r="140" ht="29.25" customHeight="1">
      <c r="A140" s="423"/>
      <c r="B140" s="382" t="s">
        <v>98</v>
      </c>
      <c r="C140" s="424" t="s">
        <v>452</v>
      </c>
      <c r="D140" s="425"/>
      <c r="E140" s="382" t="s">
        <v>103</v>
      </c>
      <c r="F140" s="426">
        <v>0.0</v>
      </c>
      <c r="G140" s="424"/>
      <c r="H140" s="427"/>
      <c r="I140" s="285"/>
      <c r="J140" s="30"/>
      <c r="K140" s="30"/>
      <c r="L140" s="30"/>
      <c r="M140" s="8"/>
      <c r="N140" s="8"/>
      <c r="O140" s="8"/>
      <c r="P140" s="8"/>
      <c r="Q140" s="8"/>
      <c r="R140" s="8"/>
    </row>
    <row r="141" ht="17.25" customHeight="1">
      <c r="A141" s="428"/>
      <c r="B141" s="382" t="s">
        <v>98</v>
      </c>
      <c r="C141" s="429" t="s">
        <v>453</v>
      </c>
      <c r="D141" s="430">
        <v>2.11430101E8</v>
      </c>
      <c r="E141" s="382" t="s">
        <v>103</v>
      </c>
      <c r="F141" s="426">
        <v>52085.18</v>
      </c>
      <c r="G141" s="382"/>
      <c r="H141" s="431"/>
      <c r="I141" s="432">
        <v>0.0</v>
      </c>
      <c r="J141" s="257"/>
      <c r="K141" s="267"/>
      <c r="L141" s="30"/>
      <c r="M141" s="8"/>
      <c r="N141" s="8"/>
      <c r="O141" s="8"/>
      <c r="P141" s="8"/>
      <c r="Q141" s="8"/>
      <c r="R141" s="8"/>
    </row>
    <row r="142" ht="15.75" customHeight="1">
      <c r="A142" s="433">
        <v>510014.0</v>
      </c>
      <c r="B142" s="434" t="s">
        <v>454</v>
      </c>
      <c r="C142" s="434">
        <v>2.11430101E8</v>
      </c>
      <c r="D142" s="435"/>
      <c r="E142" s="436"/>
      <c r="F142" s="437">
        <f>SUM(F139:F141)</f>
        <v>68775.92</v>
      </c>
      <c r="G142" s="434"/>
      <c r="H142" s="438"/>
      <c r="I142" s="125">
        <v>0.0</v>
      </c>
      <c r="J142" s="256"/>
      <c r="K142" s="267"/>
      <c r="L142" s="30"/>
      <c r="M142" s="8"/>
      <c r="N142" s="8"/>
      <c r="O142" s="8"/>
      <c r="P142" s="8"/>
      <c r="Q142" s="8"/>
      <c r="R142" s="8"/>
    </row>
    <row r="143" ht="15.0" customHeight="1">
      <c r="A143" s="8"/>
      <c r="B143" s="439"/>
      <c r="C143" s="439"/>
      <c r="D143" s="440"/>
      <c r="E143" s="440"/>
      <c r="F143" s="440"/>
      <c r="G143" s="439"/>
      <c r="H143" s="439"/>
      <c r="I143" s="8"/>
      <c r="J143" s="441"/>
      <c r="K143" s="442"/>
      <c r="L143" s="30"/>
      <c r="M143" s="8"/>
      <c r="N143" s="8"/>
      <c r="O143" s="8"/>
      <c r="P143" s="8"/>
      <c r="Q143" s="8"/>
      <c r="R143" s="8"/>
    </row>
    <row r="144" ht="15.0" customHeight="1">
      <c r="A144" s="443" t="s">
        <v>455</v>
      </c>
      <c r="H144" s="8"/>
      <c r="I144" s="8"/>
      <c r="J144" s="444"/>
      <c r="K144" s="445"/>
      <c r="L144" s="446"/>
      <c r="M144" s="8"/>
      <c r="N144" s="8"/>
      <c r="O144" s="8"/>
      <c r="P144" s="8"/>
      <c r="Q144" s="8"/>
      <c r="R144" s="8"/>
      <c r="S144" s="447"/>
      <c r="T144" s="447"/>
      <c r="U144" s="447"/>
      <c r="V144" s="447"/>
      <c r="W144" s="447"/>
      <c r="X144" s="447"/>
      <c r="Y144" s="447"/>
      <c r="Z144" s="447"/>
    </row>
    <row r="145" ht="29.25" customHeight="1">
      <c r="A145" s="16" t="s">
        <v>17</v>
      </c>
      <c r="B145" s="16" t="s">
        <v>417</v>
      </c>
      <c r="C145" s="16" t="s">
        <v>19</v>
      </c>
      <c r="D145" s="16" t="s">
        <v>66</v>
      </c>
      <c r="E145" s="16" t="s">
        <v>22</v>
      </c>
      <c r="F145" s="16" t="s">
        <v>449</v>
      </c>
      <c r="G145" s="16" t="s">
        <v>419</v>
      </c>
      <c r="H145" s="16" t="s">
        <v>450</v>
      </c>
      <c r="I145" s="17"/>
      <c r="J145" s="448"/>
      <c r="K145" s="267"/>
      <c r="L145" s="30"/>
      <c r="M145" s="8"/>
      <c r="N145" s="8"/>
      <c r="O145" s="8"/>
      <c r="P145" s="8"/>
      <c r="Q145" s="8"/>
      <c r="R145" s="8"/>
    </row>
    <row r="146" ht="42.0" customHeight="1">
      <c r="A146" s="428">
        <v>510529.0</v>
      </c>
      <c r="B146" s="429" t="s">
        <v>456</v>
      </c>
      <c r="C146" s="429" t="s">
        <v>457</v>
      </c>
      <c r="D146" s="449" t="s">
        <v>458</v>
      </c>
      <c r="E146" s="382" t="s">
        <v>459</v>
      </c>
      <c r="F146" s="381">
        <v>18683.37</v>
      </c>
      <c r="G146" s="382"/>
      <c r="H146" s="431"/>
      <c r="I146" s="8"/>
      <c r="J146" s="301"/>
      <c r="K146" s="301"/>
      <c r="L146" s="47"/>
      <c r="M146" s="8"/>
      <c r="N146" s="8"/>
      <c r="O146" s="8"/>
      <c r="P146" s="8"/>
      <c r="Q146" s="8"/>
      <c r="R146" s="8"/>
    </row>
    <row r="147" ht="17.25" customHeight="1">
      <c r="A147" s="428">
        <v>520107.0</v>
      </c>
      <c r="B147" s="382" t="s">
        <v>76</v>
      </c>
      <c r="C147" s="450">
        <v>2.11420101E8</v>
      </c>
      <c r="D147" s="450"/>
      <c r="E147" s="451"/>
      <c r="F147" s="276"/>
      <c r="G147" s="277"/>
      <c r="H147" s="452"/>
      <c r="I147" s="30"/>
      <c r="J147" s="285"/>
      <c r="K147" s="285"/>
      <c r="L147" s="8"/>
      <c r="M147" s="8"/>
      <c r="N147" s="8"/>
      <c r="O147" s="8"/>
      <c r="P147" s="8"/>
      <c r="Q147" s="8"/>
      <c r="R147" s="8"/>
    </row>
    <row r="148" ht="14.25" customHeight="1">
      <c r="A148" s="428">
        <v>700286.0</v>
      </c>
      <c r="B148" s="382"/>
      <c r="C148" s="450">
        <v>3.12120101E8</v>
      </c>
      <c r="D148" s="453"/>
      <c r="E148" s="451"/>
      <c r="F148" s="276"/>
      <c r="G148" s="277"/>
      <c r="H148" s="454"/>
      <c r="I148" s="30"/>
      <c r="J148" s="285"/>
      <c r="K148" s="301"/>
      <c r="L148" s="8"/>
      <c r="M148" s="8"/>
      <c r="N148" s="8"/>
      <c r="O148" s="8"/>
      <c r="P148" s="8"/>
      <c r="Q148" s="8"/>
      <c r="R148" s="8"/>
    </row>
    <row r="149" ht="15.0" customHeight="1">
      <c r="A149" s="455">
        <v>520482.0</v>
      </c>
      <c r="B149" s="456"/>
      <c r="C149" s="457"/>
      <c r="D149" s="457"/>
      <c r="E149" s="458"/>
      <c r="F149" s="459"/>
      <c r="G149" s="140"/>
      <c r="H149" s="460"/>
      <c r="I149" s="8"/>
      <c r="J149" s="301"/>
      <c r="K149" s="267"/>
      <c r="L149" s="30"/>
      <c r="M149" s="47"/>
      <c r="N149" s="8"/>
      <c r="O149" s="8"/>
      <c r="P149" s="8"/>
      <c r="Q149" s="8"/>
      <c r="R149" s="8"/>
    </row>
    <row r="150" ht="14.25" customHeight="1">
      <c r="A150" s="8"/>
      <c r="B150" s="394"/>
      <c r="C150" s="394"/>
      <c r="D150" s="394"/>
      <c r="E150" s="461"/>
      <c r="F150" s="461"/>
      <c r="G150" s="461"/>
      <c r="H150" s="447"/>
      <c r="I150" s="47"/>
      <c r="J150" s="30"/>
      <c r="K150" s="30"/>
      <c r="L150" s="30"/>
      <c r="M150" s="8"/>
      <c r="N150" s="8"/>
      <c r="O150" s="8"/>
      <c r="P150" s="8"/>
      <c r="Q150" s="8"/>
      <c r="R150" s="8"/>
    </row>
    <row r="151" ht="18.75" customHeight="1">
      <c r="A151" s="443" t="s">
        <v>460</v>
      </c>
      <c r="H151" s="8"/>
      <c r="I151" s="8"/>
      <c r="J151" s="462"/>
      <c r="K151" s="446"/>
      <c r="L151" s="446"/>
      <c r="M151" s="8"/>
      <c r="N151" s="8"/>
      <c r="O151" s="8"/>
      <c r="P151" s="8"/>
      <c r="Q151" s="8"/>
      <c r="R151" s="8"/>
      <c r="S151" s="447"/>
      <c r="T151" s="447"/>
      <c r="U151" s="447"/>
      <c r="V151" s="447"/>
      <c r="W151" s="447"/>
      <c r="X151" s="447"/>
      <c r="Y151" s="447"/>
      <c r="Z151" s="447"/>
    </row>
    <row r="152" ht="14.25" customHeight="1">
      <c r="A152" s="16" t="s">
        <v>17</v>
      </c>
      <c r="B152" s="16" t="s">
        <v>417</v>
      </c>
      <c r="C152" s="16"/>
      <c r="D152" s="16" t="s">
        <v>66</v>
      </c>
      <c r="E152" s="16" t="s">
        <v>22</v>
      </c>
      <c r="F152" s="16" t="s">
        <v>449</v>
      </c>
      <c r="G152" s="16" t="s">
        <v>419</v>
      </c>
      <c r="H152" s="16" t="s">
        <v>450</v>
      </c>
      <c r="I152" s="18"/>
      <c r="J152" s="17"/>
      <c r="K152" s="30"/>
      <c r="L152" s="30"/>
      <c r="M152" s="8"/>
      <c r="N152" s="8"/>
      <c r="O152" s="8"/>
      <c r="P152" s="8"/>
      <c r="Q152" s="8"/>
      <c r="R152" s="8"/>
    </row>
    <row r="153" ht="55.5" customHeight="1">
      <c r="A153" s="428">
        <v>510528.0</v>
      </c>
      <c r="B153" s="429" t="s">
        <v>461</v>
      </c>
      <c r="C153" s="429" t="s">
        <v>462</v>
      </c>
      <c r="D153" s="449" t="s">
        <v>458</v>
      </c>
      <c r="E153" s="453" t="s">
        <v>323</v>
      </c>
      <c r="F153" s="381">
        <v>1076.57</v>
      </c>
      <c r="G153" s="463"/>
      <c r="H153" s="431"/>
      <c r="I153" s="30"/>
      <c r="J153" s="47"/>
      <c r="K153" s="30"/>
      <c r="L153" s="30"/>
      <c r="M153" s="8"/>
      <c r="N153" s="8"/>
      <c r="O153" s="8"/>
      <c r="P153" s="8"/>
      <c r="Q153" s="8"/>
      <c r="R153" s="8"/>
    </row>
    <row r="154" ht="15.75" customHeight="1">
      <c r="A154" s="428">
        <v>520107.0</v>
      </c>
      <c r="B154" s="382" t="s">
        <v>76</v>
      </c>
      <c r="C154" s="382"/>
      <c r="D154" s="382"/>
      <c r="E154" s="453"/>
      <c r="F154" s="382"/>
      <c r="G154" s="463"/>
      <c r="H154" s="452"/>
      <c r="I154" s="8"/>
      <c r="J154" s="8"/>
      <c r="K154" s="47"/>
      <c r="L154" s="8"/>
      <c r="M154" s="8"/>
      <c r="N154" s="8"/>
      <c r="O154" s="8"/>
      <c r="P154" s="8"/>
      <c r="Q154" s="8"/>
      <c r="R154" s="8"/>
    </row>
    <row r="155" ht="14.25" customHeight="1">
      <c r="A155" s="428">
        <v>700286.0</v>
      </c>
      <c r="B155" s="382"/>
      <c r="C155" s="382"/>
      <c r="D155" s="382"/>
      <c r="E155" s="453"/>
      <c r="F155" s="382"/>
      <c r="G155" s="463"/>
      <c r="H155" s="454"/>
      <c r="I155" s="8"/>
      <c r="J155" s="8"/>
      <c r="K155" s="30"/>
      <c r="L155" s="8"/>
      <c r="M155" s="8"/>
      <c r="N155" s="8"/>
      <c r="O155" s="8"/>
      <c r="P155" s="8"/>
      <c r="Q155" s="8"/>
      <c r="R155" s="8"/>
    </row>
    <row r="156" ht="15.0" customHeight="1">
      <c r="A156" s="455">
        <v>520482.0</v>
      </c>
      <c r="B156" s="456"/>
      <c r="C156" s="464">
        <v>3.12120101E8</v>
      </c>
      <c r="D156" s="456"/>
      <c r="E156" s="457"/>
      <c r="F156" s="456"/>
      <c r="G156" s="465"/>
      <c r="H156" s="460"/>
      <c r="I156" s="8"/>
      <c r="J156" s="8"/>
      <c r="K156" s="47"/>
      <c r="L156" s="30"/>
      <c r="M156" s="8"/>
      <c r="N156" s="8"/>
      <c r="O156" s="8"/>
      <c r="P156" s="8"/>
      <c r="Q156" s="8"/>
      <c r="R156" s="8"/>
    </row>
    <row r="157" ht="14.25" customHeight="1">
      <c r="A157" s="8"/>
      <c r="B157" s="394"/>
      <c r="C157" s="394"/>
      <c r="D157" s="394"/>
      <c r="E157" s="466"/>
      <c r="F157" s="466"/>
      <c r="G157" s="466"/>
      <c r="H157" s="447"/>
      <c r="I157" s="8"/>
      <c r="J157" s="8"/>
      <c r="K157" s="30"/>
      <c r="L157" s="8"/>
      <c r="M157" s="8"/>
      <c r="N157" s="8"/>
      <c r="O157" s="8"/>
      <c r="P157" s="8"/>
      <c r="Q157" s="8"/>
      <c r="R157" s="8"/>
    </row>
    <row r="158" ht="14.25" customHeight="1">
      <c r="A158" s="8"/>
      <c r="B158" s="394"/>
      <c r="C158" s="394"/>
      <c r="D158" s="394"/>
      <c r="E158" s="466"/>
      <c r="F158" s="466"/>
      <c r="G158" s="466"/>
      <c r="H158" s="447"/>
      <c r="I158" s="8"/>
      <c r="J158" s="8"/>
      <c r="K158" s="30"/>
      <c r="L158" s="8"/>
      <c r="M158" s="8"/>
      <c r="N158" s="8"/>
      <c r="O158" s="8"/>
      <c r="P158" s="8"/>
      <c r="Q158" s="8"/>
      <c r="R158" s="8"/>
    </row>
    <row r="159" ht="15.0" customHeight="1">
      <c r="A159" s="443" t="s">
        <v>460</v>
      </c>
      <c r="H159" s="447"/>
      <c r="I159" s="8"/>
      <c r="J159" s="47"/>
      <c r="K159" s="30"/>
      <c r="L159" s="8"/>
      <c r="M159" s="8"/>
      <c r="N159" s="8"/>
      <c r="O159" s="8"/>
      <c r="P159" s="8"/>
      <c r="Q159" s="8"/>
      <c r="R159" s="8"/>
    </row>
    <row r="160" ht="14.25" customHeight="1">
      <c r="A160" s="16" t="s">
        <v>17</v>
      </c>
      <c r="B160" s="16" t="s">
        <v>417</v>
      </c>
      <c r="C160" s="16"/>
      <c r="D160" s="16" t="s">
        <v>66</v>
      </c>
      <c r="E160" s="16" t="s">
        <v>22</v>
      </c>
      <c r="F160" s="16" t="s">
        <v>449</v>
      </c>
      <c r="G160" s="16" t="s">
        <v>419</v>
      </c>
      <c r="H160" s="16" t="s">
        <v>450</v>
      </c>
      <c r="I160" s="17"/>
      <c r="J160" s="17"/>
      <c r="K160" s="30"/>
      <c r="L160" s="8"/>
      <c r="M160" s="8"/>
      <c r="N160" s="8"/>
      <c r="O160" s="8"/>
      <c r="P160" s="8"/>
      <c r="Q160" s="8"/>
      <c r="R160" s="8"/>
    </row>
    <row r="161" ht="37.5" customHeight="1">
      <c r="A161" s="428">
        <v>510528.0</v>
      </c>
      <c r="B161" s="429" t="s">
        <v>461</v>
      </c>
      <c r="C161" s="429" t="s">
        <v>462</v>
      </c>
      <c r="D161" s="449" t="s">
        <v>463</v>
      </c>
      <c r="E161" s="453" t="s">
        <v>329</v>
      </c>
      <c r="F161" s="381">
        <v>147.11</v>
      </c>
      <c r="G161" s="463"/>
      <c r="H161" s="431"/>
      <c r="I161" s="47"/>
      <c r="J161" s="8"/>
      <c r="K161" s="30"/>
      <c r="L161" s="8"/>
      <c r="M161" s="8"/>
      <c r="N161" s="8"/>
      <c r="O161" s="8"/>
      <c r="P161" s="8"/>
      <c r="Q161" s="8"/>
      <c r="R161" s="8"/>
    </row>
    <row r="162" ht="14.25" customHeight="1">
      <c r="A162" s="428">
        <v>520107.0</v>
      </c>
      <c r="B162" s="382" t="s">
        <v>76</v>
      </c>
      <c r="C162" s="382"/>
      <c r="D162" s="382"/>
      <c r="E162" s="453"/>
      <c r="F162" s="382"/>
      <c r="G162" s="463"/>
      <c r="H162" s="452"/>
      <c r="I162" s="8"/>
      <c r="J162" s="8"/>
      <c r="K162" s="30"/>
      <c r="L162" s="8"/>
      <c r="M162" s="8"/>
      <c r="N162" s="8"/>
      <c r="O162" s="8"/>
      <c r="P162" s="8"/>
      <c r="Q162" s="8"/>
      <c r="R162" s="8"/>
    </row>
    <row r="163" ht="14.25" customHeight="1">
      <c r="A163" s="428">
        <v>700286.0</v>
      </c>
      <c r="B163" s="382"/>
      <c r="C163" s="382"/>
      <c r="D163" s="382"/>
      <c r="E163" s="453"/>
      <c r="F163" s="382"/>
      <c r="G163" s="463"/>
      <c r="H163" s="454"/>
      <c r="I163" s="8"/>
      <c r="J163" s="8"/>
      <c r="K163" s="30"/>
      <c r="L163" s="8"/>
      <c r="M163" s="8"/>
      <c r="N163" s="8"/>
      <c r="O163" s="8"/>
      <c r="P163" s="8"/>
      <c r="Q163" s="8"/>
      <c r="R163" s="8"/>
    </row>
    <row r="164" ht="15.0" customHeight="1">
      <c r="A164" s="455">
        <v>520482.0</v>
      </c>
      <c r="B164" s="456"/>
      <c r="C164" s="456"/>
      <c r="D164" s="456"/>
      <c r="E164" s="457"/>
      <c r="F164" s="456"/>
      <c r="G164" s="465"/>
      <c r="H164" s="460"/>
      <c r="I164" s="8"/>
      <c r="J164" s="8"/>
      <c r="K164" s="30"/>
      <c r="L164" s="8"/>
      <c r="M164" s="8"/>
      <c r="N164" s="8"/>
      <c r="O164" s="8"/>
      <c r="P164" s="8"/>
      <c r="Q164" s="8"/>
      <c r="R164" s="8"/>
    </row>
    <row r="165" ht="14.25" customHeight="1">
      <c r="A165" s="394"/>
      <c r="B165" s="394"/>
      <c r="C165" s="394"/>
      <c r="D165" s="394"/>
      <c r="E165" s="394"/>
      <c r="F165" s="394"/>
      <c r="G165" s="394"/>
      <c r="H165" s="447"/>
      <c r="I165" s="8"/>
      <c r="J165" s="8"/>
      <c r="K165" s="30"/>
      <c r="L165" s="8"/>
      <c r="M165" s="8"/>
      <c r="N165" s="8"/>
      <c r="O165" s="8"/>
      <c r="P165" s="8"/>
      <c r="Q165" s="8"/>
      <c r="R165" s="8"/>
    </row>
    <row r="166" ht="14.25" customHeight="1">
      <c r="A166" s="394"/>
      <c r="B166" s="394"/>
      <c r="C166" s="394"/>
      <c r="D166" s="394"/>
      <c r="E166" s="394"/>
      <c r="F166" s="394"/>
      <c r="G166" s="394"/>
      <c r="H166" s="447"/>
      <c r="I166" s="8"/>
      <c r="J166" s="8"/>
      <c r="K166" s="30"/>
      <c r="L166" s="47"/>
      <c r="M166" s="8"/>
      <c r="N166" s="8"/>
      <c r="O166" s="8"/>
      <c r="P166" s="8"/>
      <c r="Q166" s="8"/>
      <c r="R166" s="8"/>
    </row>
    <row r="167" ht="15.0" customHeight="1">
      <c r="A167" s="443" t="s">
        <v>464</v>
      </c>
      <c r="H167" s="447"/>
      <c r="I167" s="8"/>
      <c r="J167" s="8"/>
      <c r="K167" s="43"/>
      <c r="L167" s="8"/>
      <c r="M167" s="8"/>
      <c r="N167" s="8"/>
      <c r="O167" s="8"/>
      <c r="P167" s="8"/>
      <c r="Q167" s="8"/>
      <c r="R167" s="8"/>
    </row>
    <row r="168" ht="14.25" customHeight="1">
      <c r="A168" s="16" t="s">
        <v>17</v>
      </c>
      <c r="B168" s="16" t="s">
        <v>417</v>
      </c>
      <c r="C168" s="16"/>
      <c r="D168" s="16" t="s">
        <v>66</v>
      </c>
      <c r="E168" s="16" t="s">
        <v>22</v>
      </c>
      <c r="F168" s="16" t="s">
        <v>449</v>
      </c>
      <c r="G168" s="16" t="s">
        <v>419</v>
      </c>
      <c r="H168" s="16" t="s">
        <v>450</v>
      </c>
      <c r="I168" s="17"/>
      <c r="J168" s="17"/>
      <c r="K168" s="8"/>
      <c r="L168" s="8"/>
      <c r="M168" s="8"/>
      <c r="N168" s="8"/>
      <c r="O168" s="8"/>
      <c r="P168" s="8"/>
      <c r="Q168" s="8"/>
      <c r="R168" s="8"/>
    </row>
    <row r="169" ht="43.5" customHeight="1">
      <c r="A169" s="428">
        <v>510529.0</v>
      </c>
      <c r="B169" s="429" t="s">
        <v>456</v>
      </c>
      <c r="C169" s="467" t="s">
        <v>457</v>
      </c>
      <c r="D169" s="449" t="s">
        <v>463</v>
      </c>
      <c r="E169" s="453" t="s">
        <v>465</v>
      </c>
      <c r="F169" s="381">
        <v>4356.2</v>
      </c>
      <c r="G169" s="463"/>
      <c r="H169" s="431"/>
      <c r="I169" s="30"/>
      <c r="J169" s="47"/>
      <c r="K169" s="30"/>
      <c r="L169" s="30"/>
      <c r="M169" s="30"/>
      <c r="N169" s="8"/>
      <c r="O169" s="8"/>
      <c r="P169" s="8"/>
      <c r="Q169" s="8"/>
      <c r="R169" s="8"/>
    </row>
    <row r="170" ht="14.25" customHeight="1">
      <c r="A170" s="428">
        <v>520107.0</v>
      </c>
      <c r="B170" s="382" t="s">
        <v>76</v>
      </c>
      <c r="C170" s="453"/>
      <c r="D170" s="450"/>
      <c r="E170" s="453"/>
      <c r="F170" s="382"/>
      <c r="G170" s="463"/>
      <c r="H170" s="452"/>
      <c r="I170" s="8"/>
      <c r="J170" s="8"/>
      <c r="K170" s="8"/>
      <c r="L170" s="30"/>
      <c r="M170" s="30"/>
      <c r="N170" s="8"/>
      <c r="O170" s="8"/>
      <c r="P170" s="8"/>
      <c r="Q170" s="8"/>
      <c r="R170" s="8"/>
    </row>
    <row r="171" ht="14.25" customHeight="1">
      <c r="A171" s="428">
        <v>700286.0</v>
      </c>
      <c r="B171" s="382"/>
      <c r="C171" s="453"/>
      <c r="D171" s="453"/>
      <c r="E171" s="453"/>
      <c r="F171" s="382"/>
      <c r="G171" s="463"/>
      <c r="H171" s="454"/>
      <c r="I171" s="47"/>
      <c r="J171" s="8"/>
      <c r="K171" s="47"/>
      <c r="L171" s="30"/>
      <c r="M171" s="30"/>
      <c r="N171" s="8"/>
      <c r="O171" s="8"/>
      <c r="P171" s="8"/>
      <c r="Q171" s="8"/>
      <c r="R171" s="8"/>
    </row>
    <row r="172" ht="15.0" customHeight="1">
      <c r="A172" s="455">
        <v>520482.0</v>
      </c>
      <c r="B172" s="456"/>
      <c r="C172" s="457"/>
      <c r="D172" s="457"/>
      <c r="E172" s="457"/>
      <c r="F172" s="456"/>
      <c r="G172" s="465"/>
      <c r="H172" s="460"/>
      <c r="I172" s="8"/>
      <c r="J172" s="8"/>
      <c r="K172" s="8"/>
      <c r="L172" s="30"/>
      <c r="M172" s="30"/>
      <c r="N172" s="8"/>
      <c r="O172" s="8"/>
      <c r="P172" s="8"/>
      <c r="Q172" s="8"/>
      <c r="R172" s="8"/>
    </row>
    <row r="173" ht="14.25" customHeight="1">
      <c r="A173" s="8"/>
      <c r="B173" s="394"/>
      <c r="C173" s="394"/>
      <c r="D173" s="394"/>
      <c r="E173" s="466"/>
      <c r="F173" s="466"/>
      <c r="G173" s="466"/>
      <c r="H173" s="447"/>
      <c r="I173" s="8"/>
      <c r="J173" s="8"/>
      <c r="K173" s="8"/>
      <c r="L173" s="30"/>
      <c r="M173" s="30"/>
      <c r="N173" s="8"/>
      <c r="O173" s="8"/>
      <c r="P173" s="8"/>
      <c r="Q173" s="8"/>
      <c r="R173" s="8"/>
    </row>
    <row r="174" ht="21.0" customHeight="1">
      <c r="A174" s="443" t="s">
        <v>333</v>
      </c>
      <c r="E174" s="8"/>
      <c r="F174" s="8"/>
      <c r="G174" s="8"/>
      <c r="H174" s="8"/>
      <c r="I174" s="8"/>
      <c r="J174" s="8"/>
      <c r="K174" s="8"/>
      <c r="L174" s="446"/>
      <c r="M174" s="446"/>
      <c r="N174" s="8"/>
      <c r="O174" s="8"/>
      <c r="P174" s="8"/>
      <c r="Q174" s="8"/>
      <c r="R174" s="8"/>
      <c r="S174" s="447"/>
      <c r="T174" s="447"/>
      <c r="U174" s="447"/>
      <c r="V174" s="447"/>
      <c r="W174" s="447"/>
      <c r="X174" s="447"/>
      <c r="Y174" s="447"/>
      <c r="Z174" s="447"/>
    </row>
    <row r="175" ht="15.0" customHeight="1">
      <c r="A175" s="16" t="s">
        <v>17</v>
      </c>
      <c r="B175" s="16" t="s">
        <v>417</v>
      </c>
      <c r="C175" s="16" t="s">
        <v>19</v>
      </c>
      <c r="D175" s="16" t="s">
        <v>66</v>
      </c>
      <c r="E175" s="16" t="s">
        <v>22</v>
      </c>
      <c r="F175" s="16" t="s">
        <v>466</v>
      </c>
      <c r="G175" s="16" t="s">
        <v>419</v>
      </c>
      <c r="H175" s="16" t="s">
        <v>450</v>
      </c>
      <c r="I175" s="17"/>
      <c r="J175" s="17"/>
      <c r="K175" s="8"/>
      <c r="L175" s="8"/>
      <c r="M175" s="8"/>
      <c r="N175" s="8"/>
      <c r="O175" s="8"/>
      <c r="P175" s="8"/>
      <c r="Q175" s="8"/>
      <c r="R175" s="8"/>
    </row>
    <row r="176" ht="42.75" customHeight="1">
      <c r="A176" s="372">
        <v>520107.0</v>
      </c>
      <c r="B176" s="53" t="s">
        <v>467</v>
      </c>
      <c r="C176" s="468" t="s">
        <v>468</v>
      </c>
      <c r="D176" s="469" t="s">
        <v>469</v>
      </c>
      <c r="E176" s="372" t="s">
        <v>470</v>
      </c>
      <c r="F176" s="470">
        <v>6257.76</v>
      </c>
      <c r="G176" s="471"/>
      <c r="H176" s="472"/>
      <c r="I176" s="8"/>
      <c r="J176" s="8"/>
      <c r="K176" s="8"/>
      <c r="L176" s="8"/>
      <c r="M176" s="8"/>
      <c r="N176" s="8"/>
      <c r="O176" s="8"/>
      <c r="P176" s="8"/>
      <c r="Q176" s="8"/>
      <c r="R176" s="8"/>
    </row>
    <row r="177" ht="15.0" customHeight="1">
      <c r="A177" s="473">
        <v>540226.0</v>
      </c>
      <c r="B177" s="474" t="s">
        <v>471</v>
      </c>
      <c r="C177" s="475">
        <v>2.11429901E8</v>
      </c>
      <c r="D177" s="476"/>
      <c r="E177" s="393"/>
      <c r="F177" s="477"/>
      <c r="G177" s="478"/>
      <c r="H177" s="438"/>
      <c r="I177" s="8"/>
      <c r="J177" s="8"/>
      <c r="K177" s="8"/>
      <c r="L177" s="8"/>
      <c r="M177" s="8"/>
      <c r="N177" s="8"/>
      <c r="O177" s="8"/>
      <c r="P177" s="8"/>
      <c r="Q177" s="8"/>
      <c r="R177" s="8"/>
    </row>
    <row r="178" ht="14.25" customHeight="1">
      <c r="A178" s="439"/>
      <c r="B178" s="439"/>
      <c r="C178" s="439"/>
      <c r="D178" s="394"/>
      <c r="E178" s="461"/>
      <c r="F178" s="461"/>
      <c r="G178" s="461"/>
      <c r="H178" s="439"/>
      <c r="I178" s="8"/>
      <c r="J178" s="8"/>
      <c r="K178" s="8"/>
      <c r="L178" s="8"/>
      <c r="M178" s="8"/>
      <c r="N178" s="8"/>
      <c r="O178" s="8"/>
      <c r="P178" s="8"/>
      <c r="Q178" s="8"/>
      <c r="R178" s="8"/>
    </row>
    <row r="179" ht="15.0" customHeight="1">
      <c r="A179" s="479" t="s">
        <v>334</v>
      </c>
      <c r="B179" s="480"/>
      <c r="C179" s="480"/>
      <c r="D179" s="480"/>
      <c r="E179" s="447"/>
      <c r="F179" s="447"/>
      <c r="G179" s="447"/>
      <c r="H179" s="447"/>
      <c r="I179" s="8"/>
      <c r="J179" s="8"/>
      <c r="K179" s="8"/>
      <c r="L179" s="8"/>
      <c r="M179" s="8"/>
      <c r="N179" s="8"/>
      <c r="O179" s="8"/>
      <c r="P179" s="8"/>
      <c r="Q179" s="8"/>
      <c r="R179" s="8"/>
    </row>
    <row r="180" ht="15.0" customHeight="1">
      <c r="A180" s="16" t="s">
        <v>17</v>
      </c>
      <c r="B180" s="16" t="s">
        <v>417</v>
      </c>
      <c r="C180" s="16" t="s">
        <v>19</v>
      </c>
      <c r="D180" s="16" t="s">
        <v>66</v>
      </c>
      <c r="E180" s="16" t="s">
        <v>22</v>
      </c>
      <c r="F180" s="16" t="s">
        <v>466</v>
      </c>
      <c r="G180" s="16" t="s">
        <v>419</v>
      </c>
      <c r="H180" s="16" t="s">
        <v>450</v>
      </c>
      <c r="I180" s="17"/>
      <c r="J180" s="17"/>
      <c r="K180" s="8"/>
      <c r="L180" s="8"/>
      <c r="M180" s="8"/>
      <c r="N180" s="8"/>
      <c r="O180" s="8"/>
      <c r="P180" s="8"/>
      <c r="Q180" s="8"/>
      <c r="R180" s="8"/>
    </row>
    <row r="181" ht="24.75" customHeight="1">
      <c r="A181" s="372">
        <v>520107.0</v>
      </c>
      <c r="B181" s="53" t="s">
        <v>467</v>
      </c>
      <c r="C181" s="468" t="s">
        <v>468</v>
      </c>
      <c r="D181" s="469" t="s">
        <v>469</v>
      </c>
      <c r="E181" s="372" t="s">
        <v>470</v>
      </c>
      <c r="F181" s="481">
        <f>'LÍQUIDO FOLHA -1'!F72</f>
        <v>0</v>
      </c>
      <c r="G181" s="482"/>
      <c r="H181" s="483"/>
      <c r="I181" s="8"/>
      <c r="J181" s="8"/>
      <c r="K181" s="8"/>
      <c r="L181" s="8"/>
      <c r="M181" s="8"/>
      <c r="N181" s="8"/>
      <c r="O181" s="8"/>
      <c r="P181" s="8"/>
      <c r="Q181" s="8"/>
      <c r="R181" s="8"/>
    </row>
    <row r="182" ht="15.0" customHeight="1">
      <c r="A182" s="473">
        <v>540226.0</v>
      </c>
      <c r="B182" s="474" t="s">
        <v>471</v>
      </c>
      <c r="C182" s="473"/>
      <c r="D182" s="476"/>
      <c r="E182" s="393"/>
      <c r="F182" s="477"/>
      <c r="G182" s="478"/>
      <c r="H182" s="484"/>
      <c r="I182" s="30"/>
      <c r="J182" s="30"/>
      <c r="K182" s="8"/>
      <c r="L182" s="8"/>
      <c r="M182" s="8"/>
      <c r="N182" s="8"/>
      <c r="O182" s="8"/>
      <c r="P182" s="8"/>
      <c r="Q182" s="8"/>
      <c r="R182" s="8"/>
    </row>
    <row r="183" ht="15.0" customHeight="1">
      <c r="A183" s="8"/>
      <c r="B183" s="466"/>
      <c r="C183" s="466"/>
      <c r="D183" s="466"/>
      <c r="E183" s="466"/>
      <c r="F183" s="466"/>
      <c r="G183" s="466"/>
      <c r="H183" s="466"/>
      <c r="I183" s="30"/>
      <c r="J183" s="30"/>
      <c r="K183" s="8"/>
      <c r="L183" s="8"/>
      <c r="M183" s="8"/>
      <c r="N183" s="8"/>
      <c r="O183" s="8"/>
      <c r="P183" s="8"/>
      <c r="Q183" s="8"/>
      <c r="R183" s="8"/>
    </row>
    <row r="184" ht="15.0" customHeight="1">
      <c r="A184" s="8"/>
      <c r="B184" s="466"/>
      <c r="C184" s="466"/>
      <c r="D184" s="466"/>
      <c r="E184" s="466"/>
      <c r="F184" s="466"/>
      <c r="G184" s="466"/>
      <c r="H184" s="466"/>
      <c r="I184" s="30"/>
      <c r="J184" s="30"/>
      <c r="K184" s="8"/>
      <c r="L184" s="8"/>
      <c r="M184" s="8"/>
      <c r="N184" s="8"/>
      <c r="O184" s="8"/>
      <c r="P184" s="8"/>
      <c r="Q184" s="8"/>
      <c r="R184" s="8"/>
    </row>
    <row r="185" ht="15.0" customHeight="1">
      <c r="A185" s="479" t="s">
        <v>472</v>
      </c>
      <c r="B185" s="480"/>
      <c r="C185" s="480"/>
      <c r="D185" s="480"/>
      <c r="E185" s="447"/>
      <c r="F185" s="447"/>
      <c r="G185" s="447"/>
      <c r="H185" s="447"/>
      <c r="I185" s="30"/>
      <c r="J185" s="30"/>
      <c r="K185" s="8"/>
      <c r="L185" s="8"/>
      <c r="M185" s="8"/>
      <c r="N185" s="8"/>
      <c r="O185" s="8"/>
      <c r="P185" s="8"/>
      <c r="Q185" s="8"/>
      <c r="R185" s="8"/>
    </row>
    <row r="186" ht="15.0" customHeight="1">
      <c r="A186" s="16" t="s">
        <v>17</v>
      </c>
      <c r="B186" s="16" t="s">
        <v>417</v>
      </c>
      <c r="C186" s="16" t="s">
        <v>19</v>
      </c>
      <c r="D186" s="16" t="s">
        <v>66</v>
      </c>
      <c r="E186" s="16" t="s">
        <v>22</v>
      </c>
      <c r="F186" s="16" t="s">
        <v>466</v>
      </c>
      <c r="G186" s="16" t="s">
        <v>419</v>
      </c>
      <c r="H186" s="16" t="s">
        <v>450</v>
      </c>
      <c r="I186" s="18"/>
      <c r="J186" s="18"/>
      <c r="K186" s="8"/>
      <c r="L186" s="8"/>
      <c r="M186" s="8"/>
      <c r="N186" s="8"/>
      <c r="O186" s="8"/>
      <c r="P186" s="8"/>
      <c r="Q186" s="8"/>
      <c r="R186" s="8"/>
    </row>
    <row r="187" ht="42.0" customHeight="1">
      <c r="A187" s="372">
        <v>520107.0</v>
      </c>
      <c r="B187" s="485" t="s">
        <v>125</v>
      </c>
      <c r="C187" s="468" t="s">
        <v>473</v>
      </c>
      <c r="D187" s="469" t="s">
        <v>126</v>
      </c>
      <c r="E187" s="372" t="s">
        <v>474</v>
      </c>
      <c r="F187" s="486">
        <v>0.0</v>
      </c>
      <c r="G187" s="482"/>
      <c r="H187" s="483"/>
      <c r="I187" s="30"/>
      <c r="J187" s="30"/>
      <c r="K187" s="8"/>
      <c r="L187" s="8"/>
      <c r="M187" s="8"/>
      <c r="N187" s="8"/>
      <c r="O187" s="8"/>
      <c r="P187" s="8"/>
      <c r="Q187" s="8"/>
      <c r="R187" s="8"/>
    </row>
    <row r="188" ht="15.0" customHeight="1">
      <c r="A188" s="473">
        <v>540225.0</v>
      </c>
      <c r="B188" s="474" t="s">
        <v>475</v>
      </c>
      <c r="C188" s="475">
        <v>2.11450301E8</v>
      </c>
      <c r="D188" s="476"/>
      <c r="E188" s="393"/>
      <c r="F188" s="487"/>
      <c r="G188" s="478"/>
      <c r="H188" s="484"/>
      <c r="I188" s="30"/>
      <c r="J188" s="30"/>
      <c r="K188" s="8"/>
      <c r="L188" s="47"/>
      <c r="M188" s="8"/>
      <c r="N188" s="8"/>
      <c r="O188" s="8"/>
      <c r="P188" s="8"/>
      <c r="Q188" s="8"/>
      <c r="R188" s="8"/>
    </row>
    <row r="189" ht="15.0" customHeight="1">
      <c r="A189" s="466"/>
      <c r="B189" s="466"/>
      <c r="C189" s="466"/>
      <c r="D189" s="466"/>
      <c r="E189" s="466"/>
      <c r="F189" s="466"/>
      <c r="G189" s="8"/>
      <c r="H189" s="8"/>
      <c r="I189" s="30"/>
      <c r="J189" s="30"/>
      <c r="K189" s="8"/>
      <c r="L189" s="30"/>
      <c r="M189" s="8"/>
      <c r="N189" s="8"/>
      <c r="O189" s="8"/>
      <c r="P189" s="8"/>
      <c r="Q189" s="8"/>
      <c r="R189" s="8"/>
    </row>
    <row r="190" ht="15.0" customHeight="1">
      <c r="A190" s="479" t="s">
        <v>472</v>
      </c>
      <c r="B190" s="480"/>
      <c r="C190" s="480"/>
      <c r="D190" s="480"/>
      <c r="E190" s="447"/>
      <c r="F190" s="447"/>
      <c r="G190" s="447"/>
      <c r="H190" s="447"/>
      <c r="I190" s="30"/>
      <c r="J190" s="30"/>
      <c r="K190" s="8"/>
      <c r="L190" s="30"/>
      <c r="M190" s="8"/>
      <c r="N190" s="30"/>
      <c r="O190" s="8"/>
      <c r="P190" s="8"/>
      <c r="Q190" s="8"/>
      <c r="R190" s="8"/>
    </row>
    <row r="191" ht="15.0" customHeight="1">
      <c r="A191" s="16" t="s">
        <v>17</v>
      </c>
      <c r="B191" s="16" t="s">
        <v>417</v>
      </c>
      <c r="C191" s="16" t="s">
        <v>19</v>
      </c>
      <c r="D191" s="16" t="s">
        <v>66</v>
      </c>
      <c r="E191" s="16" t="s">
        <v>22</v>
      </c>
      <c r="F191" s="16" t="s">
        <v>466</v>
      </c>
      <c r="G191" s="16" t="s">
        <v>419</v>
      </c>
      <c r="H191" s="16" t="s">
        <v>450</v>
      </c>
      <c r="I191" s="18"/>
      <c r="J191" s="18"/>
      <c r="K191" s="8"/>
      <c r="L191" s="30"/>
      <c r="M191" s="8"/>
      <c r="N191" s="30"/>
      <c r="O191" s="8"/>
      <c r="P191" s="8"/>
      <c r="Q191" s="8"/>
      <c r="R191" s="8"/>
    </row>
    <row r="192" ht="15.0" customHeight="1">
      <c r="A192" s="372">
        <v>520107.0</v>
      </c>
      <c r="B192" s="485" t="s">
        <v>125</v>
      </c>
      <c r="C192" s="468" t="s">
        <v>476</v>
      </c>
      <c r="D192" s="469" t="s">
        <v>126</v>
      </c>
      <c r="E192" s="372" t="s">
        <v>474</v>
      </c>
      <c r="F192" s="486">
        <v>0.0</v>
      </c>
      <c r="G192" s="482"/>
      <c r="H192" s="483"/>
      <c r="I192" s="30"/>
      <c r="J192" s="30"/>
      <c r="K192" s="8"/>
      <c r="L192" s="30"/>
      <c r="M192" s="8"/>
      <c r="N192" s="30"/>
      <c r="O192" s="8"/>
      <c r="P192" s="8"/>
      <c r="Q192" s="8"/>
      <c r="R192" s="8"/>
    </row>
    <row r="193" ht="15.0" customHeight="1">
      <c r="A193" s="473">
        <v>540225.0</v>
      </c>
      <c r="B193" s="474" t="s">
        <v>475</v>
      </c>
      <c r="C193" s="475">
        <v>2.11450301E8</v>
      </c>
      <c r="D193" s="476"/>
      <c r="E193" s="393"/>
      <c r="F193" s="487"/>
      <c r="G193" s="478"/>
      <c r="H193" s="484"/>
      <c r="I193" s="30"/>
      <c r="J193" s="30"/>
      <c r="K193" s="8"/>
      <c r="L193" s="30"/>
      <c r="M193" s="8"/>
      <c r="N193" s="30"/>
      <c r="O193" s="8"/>
      <c r="P193" s="8"/>
      <c r="Q193" s="8"/>
      <c r="R193" s="8"/>
    </row>
    <row r="194" ht="15.0" customHeight="1">
      <c r="A194" s="479"/>
      <c r="B194" s="480"/>
      <c r="C194" s="480"/>
      <c r="D194" s="480"/>
      <c r="E194" s="447"/>
      <c r="F194" s="447"/>
      <c r="G194" s="447"/>
      <c r="H194" s="447"/>
      <c r="I194" s="30"/>
      <c r="J194" s="30"/>
      <c r="K194" s="8"/>
      <c r="L194" s="30"/>
      <c r="M194" s="8"/>
      <c r="N194" s="30"/>
      <c r="O194" s="8"/>
      <c r="P194" s="8"/>
      <c r="Q194" s="8"/>
      <c r="R194" s="8"/>
    </row>
    <row r="195" ht="15.0" customHeight="1">
      <c r="A195" s="16" t="s">
        <v>17</v>
      </c>
      <c r="B195" s="16" t="s">
        <v>417</v>
      </c>
      <c r="C195" s="16" t="s">
        <v>19</v>
      </c>
      <c r="D195" s="16" t="s">
        <v>66</v>
      </c>
      <c r="E195" s="16" t="s">
        <v>22</v>
      </c>
      <c r="F195" s="16" t="s">
        <v>466</v>
      </c>
      <c r="G195" s="16" t="s">
        <v>419</v>
      </c>
      <c r="H195" s="16" t="s">
        <v>450</v>
      </c>
      <c r="I195" s="18"/>
      <c r="J195" s="18"/>
      <c r="K195" s="8"/>
      <c r="L195" s="30"/>
      <c r="M195" s="8"/>
      <c r="N195" s="30"/>
      <c r="O195" s="8"/>
      <c r="P195" s="8"/>
      <c r="Q195" s="8"/>
      <c r="R195" s="8"/>
    </row>
    <row r="196" ht="36.75" customHeight="1">
      <c r="A196" s="372">
        <v>520107.0</v>
      </c>
      <c r="B196" s="97" t="s">
        <v>112</v>
      </c>
      <c r="C196" s="468" t="s">
        <v>473</v>
      </c>
      <c r="D196" s="98" t="s">
        <v>477</v>
      </c>
      <c r="E196" s="372" t="s">
        <v>478</v>
      </c>
      <c r="F196" s="486">
        <v>0.0</v>
      </c>
      <c r="G196" s="482"/>
      <c r="H196" s="483"/>
      <c r="I196" s="30"/>
      <c r="J196" s="30"/>
      <c r="K196" s="8"/>
      <c r="L196" s="30"/>
      <c r="M196" s="8"/>
      <c r="N196" s="30"/>
      <c r="O196" s="8"/>
      <c r="P196" s="8"/>
      <c r="Q196" s="8"/>
      <c r="R196" s="8"/>
    </row>
    <row r="197" ht="18.0" customHeight="1">
      <c r="A197" s="473">
        <v>540225.0</v>
      </c>
      <c r="B197" s="474" t="s">
        <v>479</v>
      </c>
      <c r="C197" s="475">
        <v>2.11450301E8</v>
      </c>
      <c r="D197" s="476"/>
      <c r="E197" s="393"/>
      <c r="F197" s="487"/>
      <c r="G197" s="478"/>
      <c r="H197" s="484"/>
      <c r="I197" s="30"/>
      <c r="J197" s="30"/>
      <c r="K197" s="8"/>
      <c r="L197" s="30"/>
      <c r="M197" s="8"/>
      <c r="N197" s="30"/>
      <c r="O197" s="8"/>
      <c r="P197" s="8"/>
      <c r="Q197" s="8"/>
      <c r="R197" s="8"/>
    </row>
    <row r="198" ht="15.0" customHeight="1">
      <c r="A198" s="466"/>
      <c r="B198" s="466"/>
      <c r="C198" s="466"/>
      <c r="D198" s="466"/>
      <c r="E198" s="466"/>
      <c r="F198" s="466"/>
      <c r="G198" s="8"/>
      <c r="H198" s="8"/>
      <c r="I198" s="30"/>
      <c r="J198" s="30"/>
      <c r="K198" s="8"/>
      <c r="L198" s="30"/>
      <c r="M198" s="8"/>
      <c r="N198" s="8"/>
      <c r="O198" s="8"/>
      <c r="P198" s="8"/>
      <c r="Q198" s="8"/>
      <c r="R198" s="8"/>
    </row>
    <row r="199" ht="15.0" customHeight="1">
      <c r="A199" s="466"/>
      <c r="B199" s="466"/>
      <c r="C199" s="466"/>
      <c r="D199" s="466"/>
      <c r="E199" s="466"/>
      <c r="F199" s="466"/>
      <c r="G199" s="8"/>
      <c r="H199" s="8"/>
      <c r="I199" s="30"/>
      <c r="J199" s="30"/>
      <c r="K199" s="8"/>
      <c r="L199" s="30"/>
      <c r="M199" s="8"/>
      <c r="N199" s="8"/>
      <c r="O199" s="8"/>
      <c r="P199" s="8"/>
      <c r="Q199" s="8"/>
      <c r="R199" s="8"/>
    </row>
    <row r="200" ht="15.0" customHeight="1">
      <c r="A200" s="479" t="s">
        <v>480</v>
      </c>
      <c r="B200" s="480"/>
      <c r="C200" s="480"/>
      <c r="D200" s="480"/>
      <c r="E200" s="447"/>
      <c r="F200" s="447"/>
      <c r="G200" s="447"/>
      <c r="H200" s="447"/>
      <c r="I200" s="30"/>
      <c r="J200" s="8"/>
      <c r="K200" s="8"/>
      <c r="L200" s="30"/>
      <c r="M200" s="8"/>
      <c r="N200" s="8"/>
      <c r="O200" s="8"/>
      <c r="P200" s="8"/>
      <c r="Q200" s="8"/>
      <c r="R200" s="8"/>
    </row>
    <row r="201" ht="15.0" customHeight="1">
      <c r="A201" s="16" t="s">
        <v>17</v>
      </c>
      <c r="B201" s="16" t="s">
        <v>417</v>
      </c>
      <c r="C201" s="16" t="s">
        <v>19</v>
      </c>
      <c r="D201" s="16" t="s">
        <v>66</v>
      </c>
      <c r="E201" s="16" t="s">
        <v>22</v>
      </c>
      <c r="F201" s="16" t="s">
        <v>466</v>
      </c>
      <c r="G201" s="16" t="s">
        <v>419</v>
      </c>
      <c r="H201" s="16" t="s">
        <v>450</v>
      </c>
      <c r="I201" s="18"/>
      <c r="J201" s="17"/>
      <c r="K201" s="8"/>
      <c r="L201" s="30"/>
      <c r="M201" s="8"/>
      <c r="N201" s="8"/>
      <c r="O201" s="8"/>
      <c r="P201" s="8"/>
      <c r="Q201" s="8"/>
      <c r="R201" s="8"/>
    </row>
    <row r="202" ht="26.25" customHeight="1">
      <c r="A202" s="372">
        <v>520107.0</v>
      </c>
      <c r="B202" s="485" t="s">
        <v>481</v>
      </c>
      <c r="C202" s="468" t="s">
        <v>482</v>
      </c>
      <c r="D202" s="488" t="s">
        <v>483</v>
      </c>
      <c r="E202" s="372" t="s">
        <v>484</v>
      </c>
      <c r="F202" s="373">
        <v>4843.5</v>
      </c>
      <c r="G202" s="471"/>
      <c r="H202" s="489"/>
      <c r="I202" s="256" t="s">
        <v>485</v>
      </c>
      <c r="J202" s="301"/>
      <c r="K202" s="8"/>
      <c r="L202" s="30"/>
      <c r="M202" s="8"/>
      <c r="N202" s="8"/>
      <c r="O202" s="8"/>
      <c r="P202" s="8"/>
      <c r="Q202" s="8"/>
      <c r="R202" s="8"/>
    </row>
    <row r="203" ht="15.0" customHeight="1">
      <c r="A203" s="473">
        <v>540224.0</v>
      </c>
      <c r="B203" s="474" t="s">
        <v>486</v>
      </c>
      <c r="C203" s="475">
        <v>2.11440301E8</v>
      </c>
      <c r="D203" s="476"/>
      <c r="E203" s="393"/>
      <c r="F203" s="487"/>
      <c r="G203" s="478"/>
      <c r="H203" s="484"/>
      <c r="I203" s="256"/>
      <c r="J203" s="285"/>
      <c r="K203" s="8"/>
      <c r="L203" s="30"/>
      <c r="M203" s="8"/>
      <c r="N203" s="30"/>
      <c r="O203" s="30"/>
      <c r="P203" s="8"/>
      <c r="Q203" s="8"/>
      <c r="R203" s="8"/>
    </row>
    <row r="204" ht="15.0" customHeight="1">
      <c r="A204" s="466"/>
      <c r="B204" s="466"/>
      <c r="C204" s="466"/>
      <c r="D204" s="466"/>
      <c r="E204" s="466"/>
      <c r="F204" s="466"/>
      <c r="G204" s="8"/>
      <c r="H204" s="8"/>
      <c r="I204" s="260"/>
      <c r="J204" s="285"/>
      <c r="K204" s="8"/>
      <c r="L204" s="30"/>
      <c r="M204" s="8"/>
      <c r="N204" s="30"/>
      <c r="O204" s="30"/>
      <c r="P204" s="8"/>
      <c r="Q204" s="8"/>
      <c r="R204" s="8"/>
    </row>
    <row r="205" ht="15.0" customHeight="1">
      <c r="A205" s="466"/>
      <c r="B205" s="466"/>
      <c r="C205" s="466"/>
      <c r="D205" s="466"/>
      <c r="E205" s="466"/>
      <c r="F205" s="466"/>
      <c r="G205" s="8"/>
      <c r="H205" s="8"/>
      <c r="I205" s="256"/>
      <c r="J205" s="285"/>
      <c r="K205" s="8"/>
      <c r="L205" s="30"/>
      <c r="M205" s="8"/>
      <c r="N205" s="30"/>
      <c r="O205" s="30"/>
      <c r="P205" s="8"/>
      <c r="Q205" s="8"/>
      <c r="R205" s="8"/>
    </row>
    <row r="206" ht="15.0" customHeight="1">
      <c r="A206" s="479" t="s">
        <v>487</v>
      </c>
      <c r="B206" s="480"/>
      <c r="C206" s="480"/>
      <c r="D206" s="480"/>
      <c r="E206" s="447"/>
      <c r="F206" s="447"/>
      <c r="G206" s="447"/>
      <c r="H206" s="447"/>
      <c r="I206" s="257"/>
      <c r="J206" s="285"/>
      <c r="K206" s="8"/>
      <c r="L206" s="30"/>
      <c r="M206" s="8"/>
      <c r="N206" s="30"/>
      <c r="O206" s="30"/>
      <c r="P206" s="8"/>
      <c r="Q206" s="8"/>
      <c r="R206" s="8"/>
    </row>
    <row r="207" ht="15.0" customHeight="1">
      <c r="A207" s="16" t="s">
        <v>17</v>
      </c>
      <c r="B207" s="16" t="s">
        <v>417</v>
      </c>
      <c r="C207" s="16" t="s">
        <v>19</v>
      </c>
      <c r="D207" s="16" t="s">
        <v>66</v>
      </c>
      <c r="E207" s="16" t="s">
        <v>22</v>
      </c>
      <c r="F207" s="16" t="s">
        <v>466</v>
      </c>
      <c r="G207" s="16" t="s">
        <v>419</v>
      </c>
      <c r="H207" s="16" t="s">
        <v>450</v>
      </c>
      <c r="I207" s="490" t="s">
        <v>485</v>
      </c>
      <c r="J207" s="17"/>
      <c r="K207" s="8"/>
      <c r="L207" s="30"/>
      <c r="M207" s="8"/>
      <c r="N207" s="30"/>
      <c r="O207" s="30"/>
      <c r="P207" s="8"/>
      <c r="Q207" s="8"/>
      <c r="R207" s="8"/>
    </row>
    <row r="208" ht="29.25" customHeight="1">
      <c r="A208" s="372">
        <v>520107.0</v>
      </c>
      <c r="B208" s="485" t="s">
        <v>481</v>
      </c>
      <c r="C208" s="468" t="s">
        <v>482</v>
      </c>
      <c r="D208" s="488" t="s">
        <v>483</v>
      </c>
      <c r="E208" s="372" t="s">
        <v>484</v>
      </c>
      <c r="F208" s="486">
        <v>82.41</v>
      </c>
      <c r="G208" s="471"/>
      <c r="H208" s="489"/>
      <c r="I208" s="305"/>
      <c r="J208" s="285"/>
      <c r="K208" s="8"/>
      <c r="L208" s="30"/>
      <c r="M208" s="8"/>
      <c r="N208" s="30"/>
      <c r="O208" s="30"/>
      <c r="P208" s="8"/>
      <c r="Q208" s="8"/>
      <c r="R208" s="8"/>
    </row>
    <row r="209" ht="15.0" hidden="1" customHeight="1">
      <c r="A209" s="475">
        <v>540225.0</v>
      </c>
      <c r="B209" s="474" t="s">
        <v>486</v>
      </c>
      <c r="C209" s="475">
        <v>2.11450301E8</v>
      </c>
      <c r="D209" s="476"/>
      <c r="E209" s="393"/>
      <c r="F209" s="487"/>
      <c r="G209" s="478"/>
      <c r="H209" s="484"/>
      <c r="I209" s="285"/>
      <c r="J209" s="285"/>
      <c r="K209" s="8"/>
      <c r="L209" s="30"/>
      <c r="M209" s="8"/>
      <c r="N209" s="8"/>
      <c r="O209" s="8"/>
      <c r="P209" s="8"/>
      <c r="Q209" s="8"/>
      <c r="R209" s="8"/>
    </row>
    <row r="210" ht="15.0" customHeight="1">
      <c r="A210" s="466"/>
      <c r="B210" s="466"/>
      <c r="C210" s="466"/>
      <c r="D210" s="466"/>
      <c r="E210" s="466"/>
      <c r="F210" s="466"/>
      <c r="G210" s="8"/>
      <c r="H210" s="8"/>
      <c r="I210" s="285"/>
      <c r="J210" s="285"/>
      <c r="K210" s="8"/>
      <c r="L210" s="30"/>
      <c r="M210" s="8"/>
      <c r="N210" s="47"/>
      <c r="O210" s="8"/>
      <c r="P210" s="8"/>
      <c r="Q210" s="8"/>
      <c r="R210" s="8"/>
    </row>
    <row r="211" ht="15.0" customHeight="1">
      <c r="A211" s="466"/>
      <c r="B211" s="466"/>
      <c r="C211" s="466"/>
      <c r="D211" s="466"/>
      <c r="E211" s="466"/>
      <c r="F211" s="466"/>
      <c r="G211" s="8"/>
      <c r="H211" s="8"/>
      <c r="I211" s="8"/>
      <c r="J211" s="8"/>
      <c r="K211" s="8"/>
      <c r="L211" s="30"/>
      <c r="M211" s="8"/>
      <c r="N211" s="8"/>
      <c r="O211" s="8"/>
      <c r="P211" s="8"/>
      <c r="Q211" s="8"/>
      <c r="R211" s="8"/>
    </row>
    <row r="212" ht="46.5" customHeight="1">
      <c r="A212" s="466" t="s">
        <v>488</v>
      </c>
      <c r="F212" s="491">
        <f>'LÍQUIDO FOLHA -1'!F79</f>
        <v>694407.63</v>
      </c>
      <c r="G212" s="492">
        <f>D7+F98+G98+F131+F142+F146+F153+F161+F169+F176+F181+F187+F196+F202+F208+H98</f>
        <v>704883.91</v>
      </c>
      <c r="H212" s="493"/>
      <c r="J212" s="86"/>
      <c r="K212" s="30"/>
      <c r="L212" s="30"/>
      <c r="M212" s="8"/>
      <c r="N212" s="47"/>
      <c r="O212" s="8"/>
      <c r="P212" s="8"/>
      <c r="Q212" s="8"/>
      <c r="R212" s="8"/>
    </row>
    <row r="213" ht="14.25" customHeight="1">
      <c r="A213" s="494"/>
      <c r="B213" s="8"/>
      <c r="C213" s="8"/>
      <c r="D213" s="8"/>
      <c r="E213" s="495"/>
      <c r="F213" s="13"/>
      <c r="G213" s="284"/>
      <c r="H213" s="496"/>
      <c r="J213" s="86"/>
      <c r="K213" s="30"/>
      <c r="L213" s="30"/>
      <c r="M213" s="8"/>
      <c r="N213" s="47"/>
      <c r="O213" s="8"/>
      <c r="P213" s="8"/>
      <c r="Q213" s="8"/>
      <c r="R213" s="8"/>
    </row>
    <row r="214" ht="14.25" customHeight="1">
      <c r="A214" s="8" t="s">
        <v>489</v>
      </c>
      <c r="B214" s="8"/>
      <c r="C214" s="8"/>
      <c r="D214" s="8"/>
      <c r="E214" s="8"/>
      <c r="F214" s="8"/>
      <c r="G214" s="86"/>
      <c r="H214" s="47"/>
      <c r="I214" s="47"/>
      <c r="J214" s="147"/>
      <c r="K214" s="30"/>
      <c r="L214" s="47"/>
      <c r="M214" s="8"/>
      <c r="N214" s="8"/>
      <c r="O214" s="8"/>
      <c r="P214" s="8"/>
      <c r="Q214" s="8"/>
      <c r="R214" s="8"/>
    </row>
    <row r="215" ht="14.25" customHeight="1">
      <c r="A215" s="8"/>
      <c r="B215" s="8"/>
      <c r="C215" s="8"/>
      <c r="D215" s="8"/>
      <c r="E215" s="497" t="s">
        <v>490</v>
      </c>
      <c r="F215" s="498"/>
      <c r="G215" s="499">
        <f>F212-G212</f>
        <v>-10476.28</v>
      </c>
      <c r="H215" s="30"/>
      <c r="I215" s="8"/>
      <c r="J215" s="30"/>
      <c r="K215" s="30"/>
      <c r="L215" s="8"/>
      <c r="M215" s="47"/>
      <c r="N215" s="8"/>
      <c r="O215" s="8"/>
      <c r="P215" s="8"/>
      <c r="Q215" s="8"/>
      <c r="R215" s="8"/>
    </row>
    <row r="216" ht="14.25" customHeight="1">
      <c r="A216" s="8"/>
      <c r="B216" s="8"/>
      <c r="C216" s="8"/>
      <c r="D216" s="8"/>
      <c r="E216" s="8"/>
      <c r="F216" s="8"/>
      <c r="G216" s="30"/>
      <c r="H216" s="8"/>
      <c r="I216" s="47"/>
      <c r="J216" s="8"/>
      <c r="K216" s="8"/>
      <c r="L216" s="8"/>
      <c r="M216" s="8"/>
      <c r="N216" s="8"/>
      <c r="O216" s="8"/>
      <c r="P216" s="8"/>
      <c r="Q216" s="8"/>
      <c r="R216" s="8"/>
    </row>
    <row r="217" ht="14.25" customHeight="1">
      <c r="A217" s="8"/>
      <c r="B217" s="8"/>
      <c r="C217" s="8"/>
      <c r="D217" s="8"/>
      <c r="E217" s="8"/>
      <c r="F217" s="8"/>
      <c r="G217" s="47"/>
      <c r="H217" s="47"/>
      <c r="I217" s="8"/>
      <c r="J217" s="8"/>
      <c r="K217" s="8"/>
      <c r="L217" s="8"/>
      <c r="M217" s="8"/>
      <c r="N217" s="8"/>
      <c r="O217" s="8"/>
      <c r="P217" s="8"/>
      <c r="Q217" s="8"/>
      <c r="R217" s="8"/>
    </row>
    <row r="218" ht="14.25" customHeight="1">
      <c r="A218" s="8"/>
      <c r="B218" s="8"/>
      <c r="C218" s="8"/>
      <c r="D218" s="8"/>
      <c r="E218" s="8"/>
      <c r="F218" s="8"/>
      <c r="G218" s="8"/>
      <c r="H218" s="47"/>
      <c r="I218" s="8"/>
      <c r="J218" s="8"/>
      <c r="K218" s="8"/>
      <c r="L218" s="47"/>
      <c r="M218" s="8"/>
      <c r="N218" s="8"/>
      <c r="O218" s="8"/>
      <c r="P218" s="8"/>
      <c r="Q218" s="8"/>
      <c r="R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  <c r="I219" s="47"/>
      <c r="J219" s="47"/>
      <c r="K219" s="8"/>
      <c r="L219" s="8"/>
      <c r="M219" s="8"/>
      <c r="N219" s="8"/>
      <c r="O219" s="8"/>
      <c r="P219" s="8"/>
      <c r="Q219" s="8"/>
      <c r="R219" s="8"/>
    </row>
    <row r="220" ht="14.25" customHeight="1">
      <c r="A220" s="8"/>
      <c r="B220" s="8"/>
      <c r="C220" s="8"/>
      <c r="D220" s="8"/>
      <c r="E220" s="8"/>
      <c r="F220" s="8"/>
      <c r="G220" s="47"/>
      <c r="H220" s="8"/>
      <c r="I220" s="8"/>
      <c r="J220" s="8"/>
      <c r="K220" s="8"/>
      <c r="L220" s="30"/>
      <c r="M220" s="30"/>
      <c r="N220" s="8"/>
      <c r="O220" s="8"/>
      <c r="P220" s="8"/>
      <c r="Q220" s="8"/>
      <c r="R220" s="8"/>
    </row>
    <row r="221" ht="14.25" customHeight="1">
      <c r="A221" s="8"/>
      <c r="B221" s="8"/>
      <c r="C221" s="8"/>
      <c r="D221" s="8"/>
      <c r="E221" s="8"/>
      <c r="F221" s="8"/>
      <c r="G221" s="30"/>
      <c r="H221" s="8"/>
      <c r="I221" s="8"/>
      <c r="J221" s="8"/>
      <c r="K221" s="8"/>
      <c r="L221" s="30"/>
      <c r="M221" s="30"/>
      <c r="N221" s="8"/>
      <c r="O221" s="8"/>
      <c r="P221" s="8"/>
      <c r="Q221" s="8"/>
      <c r="R221" s="8"/>
    </row>
    <row r="222" ht="14.25" customHeight="1">
      <c r="A222" s="8"/>
      <c r="B222" s="8"/>
      <c r="C222" s="8"/>
      <c r="D222" s="8"/>
      <c r="E222" s="8"/>
      <c r="F222" s="8"/>
      <c r="G222" s="30"/>
      <c r="H222" s="8"/>
      <c r="I222" s="8"/>
      <c r="J222" s="8"/>
      <c r="K222" s="8"/>
      <c r="L222" s="30"/>
      <c r="M222" s="30"/>
      <c r="N222" s="8"/>
      <c r="O222" s="8"/>
      <c r="P222" s="8"/>
      <c r="Q222" s="8"/>
      <c r="R222" s="8"/>
    </row>
    <row r="223" ht="14.25" customHeight="1">
      <c r="A223" s="8"/>
      <c r="B223" s="8"/>
      <c r="C223" s="8"/>
      <c r="D223" s="8"/>
      <c r="E223" s="8"/>
      <c r="F223" s="8"/>
      <c r="G223" s="30"/>
      <c r="H223" s="8"/>
      <c r="I223" s="8"/>
      <c r="J223" s="8"/>
      <c r="K223" s="8"/>
      <c r="L223" s="30"/>
      <c r="M223" s="30"/>
      <c r="N223" s="47"/>
      <c r="O223" s="8"/>
      <c r="P223" s="8"/>
      <c r="Q223" s="8"/>
      <c r="R223" s="8"/>
    </row>
    <row r="224" ht="14.25" customHeight="1">
      <c r="A224" s="8"/>
      <c r="B224" s="8"/>
      <c r="C224" s="8"/>
      <c r="D224" s="8"/>
      <c r="E224" s="8"/>
      <c r="F224" s="8"/>
      <c r="G224" s="30"/>
      <c r="H224" s="8"/>
      <c r="I224" s="8"/>
      <c r="J224" s="8"/>
      <c r="K224" s="8"/>
      <c r="L224" s="30"/>
      <c r="M224" s="30"/>
      <c r="N224" s="8"/>
      <c r="O224" s="8"/>
      <c r="P224" s="8"/>
      <c r="Q224" s="8"/>
      <c r="R224" s="8"/>
    </row>
    <row r="225" ht="14.25" customHeight="1">
      <c r="A225" s="8"/>
      <c r="B225" s="8"/>
      <c r="C225" s="8"/>
      <c r="D225" s="8"/>
      <c r="E225" s="8"/>
      <c r="F225" s="8"/>
      <c r="G225" s="3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</row>
    <row r="226" ht="14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</row>
    <row r="227" ht="14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</row>
    <row r="228" ht="14.25" customHeight="1">
      <c r="A228" s="8"/>
      <c r="B228" s="8"/>
      <c r="C228" s="8"/>
      <c r="D228" s="8"/>
      <c r="E228" s="8"/>
      <c r="F228" s="8"/>
      <c r="G228" s="3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</row>
    <row r="229" ht="14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</row>
    <row r="230" ht="14.25" customHeight="1">
      <c r="A230" s="8"/>
      <c r="B230" s="8"/>
      <c r="C230" s="8"/>
      <c r="D230" s="8"/>
      <c r="E230" s="8"/>
      <c r="F230" s="8"/>
      <c r="G230" s="125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</row>
    <row r="231" ht="14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ht="14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 ht="14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 ht="14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 ht="14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 ht="14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 ht="14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 ht="14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 ht="14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 ht="14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 ht="14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 ht="14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 ht="14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 ht="14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 ht="14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 ht="14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 ht="14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 ht="14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 ht="14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 ht="14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 ht="14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 ht="14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 ht="14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 ht="14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 ht="14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 ht="14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 ht="14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 ht="14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 ht="14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 ht="14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 ht="14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 ht="14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 ht="14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 ht="14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 ht="14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 ht="14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 ht="14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 ht="14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 ht="14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 ht="14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 ht="14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 ht="14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 ht="14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 ht="14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 ht="14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 ht="14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 ht="14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 ht="14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 ht="14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 ht="14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 ht="14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 ht="14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 ht="14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 ht="14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 ht="14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 ht="14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 ht="14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 ht="14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 ht="14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 ht="14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 ht="14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 ht="14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 ht="14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 ht="14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 ht="14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 ht="14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 ht="14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 ht="14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 ht="14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 ht="14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ht="14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 ht="14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 ht="14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 ht="14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 ht="14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 ht="14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 ht="14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 ht="14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 ht="14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 ht="14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 ht="14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 ht="14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 ht="14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 ht="14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 ht="14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 ht="14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 ht="14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 ht="14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 ht="14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 ht="14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 ht="14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 ht="14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 ht="14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 ht="14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 ht="14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 ht="14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 ht="14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 ht="14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 ht="14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 ht="14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 ht="14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 ht="14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 ht="14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 ht="14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 ht="14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 ht="14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 ht="14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 ht="14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 ht="14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 ht="14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 ht="14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 ht="14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 ht="14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 ht="14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 ht="14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 ht="14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 ht="14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 ht="14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 ht="14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 ht="14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 ht="14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 ht="14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 ht="14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 ht="14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 ht="14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 ht="14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 ht="14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 ht="14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 ht="14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 ht="14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 ht="14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 ht="14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 ht="14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 ht="14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 ht="14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 ht="14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 ht="14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 ht="14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 ht="14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 ht="14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 ht="14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 ht="14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 ht="14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 ht="14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 ht="14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 ht="14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 ht="14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 ht="14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 ht="14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 ht="14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 ht="14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 ht="14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 ht="14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 ht="14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 ht="14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 ht="14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 ht="14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 ht="14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 ht="14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 ht="14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 ht="14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 ht="14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 ht="14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 ht="14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 ht="14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 ht="14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 ht="14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 ht="14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 ht="14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 ht="14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 ht="14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 ht="14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 ht="14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 ht="14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 ht="14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 ht="14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 ht="14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 ht="14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 ht="14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 ht="14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 ht="14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 ht="14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 ht="14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 ht="14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 ht="14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 ht="14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 ht="14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 ht="14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 ht="14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 ht="14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 ht="14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 ht="14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 ht="14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 ht="14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 ht="14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 ht="14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 ht="14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 ht="14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 ht="14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 ht="14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 ht="14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 ht="14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 ht="14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 ht="14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 ht="14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 ht="14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 ht="14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 ht="14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 ht="14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 ht="14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 ht="14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 ht="14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 ht="14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 ht="14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 ht="14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 ht="14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 ht="14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 ht="14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 ht="14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 ht="14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 ht="14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 ht="14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 ht="14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 ht="14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 ht="14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 ht="14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 ht="14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 ht="14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 ht="14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 ht="14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 ht="14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 ht="14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 ht="14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 ht="14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 ht="14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 ht="14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 ht="14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 ht="14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 ht="14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 ht="14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 ht="14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 ht="14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 ht="14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 ht="14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 ht="14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 ht="14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 ht="14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 ht="14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 ht="14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 ht="14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 ht="14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 ht="14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 ht="14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 ht="14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 ht="14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 ht="14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 ht="14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 ht="14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 ht="14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 ht="14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 ht="14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 ht="14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 ht="14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 ht="14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 ht="14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 ht="14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 ht="14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 ht="14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 ht="14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 ht="14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 ht="14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 ht="14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 ht="14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 ht="14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 ht="14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 ht="14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 ht="14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 ht="14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 ht="14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 ht="14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 ht="14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 ht="14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 ht="14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 ht="14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 ht="14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 ht="14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 ht="14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 ht="14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 ht="14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 ht="14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 ht="14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 ht="14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 ht="14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 ht="14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 ht="14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 ht="14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 ht="14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 ht="14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 ht="14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 ht="14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 ht="14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 ht="14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 ht="14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 ht="14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 ht="14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 ht="14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 ht="14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 ht="14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 ht="14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 ht="14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 ht="14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 ht="14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 ht="14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 ht="14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 ht="14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 ht="14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 ht="14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 ht="14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 ht="14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 ht="14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 ht="14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 ht="14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 ht="14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 ht="14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 ht="14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 ht="14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 ht="14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 ht="14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 ht="14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 ht="14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 ht="14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 ht="14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 ht="14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 ht="14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 ht="14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 ht="14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 ht="14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 ht="14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 ht="14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 ht="14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 ht="14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 ht="14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 ht="14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 ht="14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 ht="14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 ht="14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 ht="14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 ht="14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 ht="14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 ht="14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 ht="14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 ht="14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 ht="14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 ht="14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 ht="14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 ht="14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 ht="14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 ht="14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 ht="14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 ht="14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 ht="14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 ht="14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 ht="14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 ht="14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 ht="14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 ht="14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 ht="14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 ht="14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 ht="14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 ht="14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 ht="14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 ht="14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 ht="14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 ht="14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 ht="14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 ht="14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 ht="14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 ht="14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 ht="14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 ht="14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 ht="14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 ht="14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 ht="14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 ht="14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 ht="14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 ht="14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 ht="14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 ht="14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 ht="14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 ht="14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 ht="14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 ht="14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 ht="14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 ht="14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 ht="14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 ht="14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 ht="14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 ht="14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 ht="14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 ht="14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 ht="14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 ht="14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 ht="14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 ht="14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 ht="14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 ht="14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 ht="14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 ht="14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 ht="14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 ht="14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 ht="14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 ht="14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 ht="14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 ht="14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 ht="14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 ht="14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 ht="14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 ht="14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</row>
    <row r="915" ht="14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 ht="14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 ht="14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 ht="14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 ht="14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 ht="14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 ht="14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 ht="14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 ht="14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 ht="14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 ht="14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 ht="14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 ht="14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 ht="14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 ht="14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 ht="14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 ht="14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 ht="14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 ht="14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 ht="14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 ht="14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 ht="14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 ht="14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 ht="14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 ht="14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 ht="14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 ht="14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 ht="14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 ht="14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 ht="14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 ht="14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 ht="14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 ht="14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 ht="14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 ht="14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 ht="14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 ht="14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 ht="14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 ht="14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 ht="14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 ht="14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 ht="14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 ht="14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 ht="14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 ht="14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 ht="14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 ht="14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 ht="14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 ht="14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 ht="14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 ht="14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 ht="14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 ht="14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 ht="14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 ht="14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 ht="14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 ht="14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 ht="14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 ht="14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 ht="14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 ht="14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 ht="14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 ht="14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 ht="14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 ht="14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 ht="14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 ht="14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 ht="14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 ht="14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 ht="14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 ht="14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</row>
    <row r="986" ht="14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 ht="14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</row>
    <row r="988" ht="14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</row>
    <row r="989" ht="14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</row>
    <row r="990" ht="14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</row>
    <row r="991" ht="14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</row>
    <row r="992" ht="14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</row>
    <row r="993" ht="14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</row>
    <row r="994" ht="14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</row>
    <row r="995" ht="14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</row>
    <row r="996" ht="14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</row>
    <row r="997" ht="14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</row>
    <row r="998" ht="14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</row>
    <row r="999" ht="14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</row>
    <row r="1000" ht="14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</row>
  </sheetData>
  <mergeCells count="26">
    <mergeCell ref="B1:D1"/>
    <mergeCell ref="A3:C3"/>
    <mergeCell ref="A4:C4"/>
    <mergeCell ref="A5:C5"/>
    <mergeCell ref="A7:C7"/>
    <mergeCell ref="A11:G11"/>
    <mergeCell ref="A98:E98"/>
    <mergeCell ref="D107:G107"/>
    <mergeCell ref="A144:G144"/>
    <mergeCell ref="E147:G147"/>
    <mergeCell ref="E148:G148"/>
    <mergeCell ref="E149:G149"/>
    <mergeCell ref="A151:G151"/>
    <mergeCell ref="A159:G159"/>
    <mergeCell ref="A206:D206"/>
    <mergeCell ref="A212:E212"/>
    <mergeCell ref="H212:I212"/>
    <mergeCell ref="E213:F213"/>
    <mergeCell ref="H213:I213"/>
    <mergeCell ref="A167:G167"/>
    <mergeCell ref="A174:D174"/>
    <mergeCell ref="A179:D179"/>
    <mergeCell ref="A185:D185"/>
    <mergeCell ref="A190:D190"/>
    <mergeCell ref="A194:D194"/>
    <mergeCell ref="A200:D200"/>
  </mergeCells>
  <printOptions/>
  <pageMargins bottom="0.3149606299212598" footer="0.0" header="0.0" left="0.2362204724409449" right="0.1574803149606299" top="0.1968503937007874"/>
  <pageSetup paperSize="9" orientation="landscape"/>
  <rowBreaks count="4" manualBreakCount="4">
    <brk id="32" man="1"/>
    <brk id="99" man="1"/>
    <brk id="132" man="1"/>
    <brk id="172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51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43"/>
    <col customWidth="1" min="2" max="2" width="12.0"/>
    <col customWidth="1" min="3" max="3" width="45.29"/>
    <col customWidth="1" min="4" max="4" width="15.43"/>
    <col customWidth="1" min="5" max="5" width="8.71"/>
    <col customWidth="1" min="6" max="6" width="17.71"/>
    <col customWidth="1" min="7" max="7" width="15.71"/>
    <col customWidth="1" min="8" max="8" width="13.14"/>
    <col customWidth="1" min="9" max="10" width="11.43"/>
    <col customWidth="1" min="11" max="11" width="10.71"/>
    <col customWidth="1" min="12" max="26" width="8.71"/>
  </cols>
  <sheetData>
    <row r="1" ht="28.5" customHeight="1">
      <c r="A1" s="18" t="s">
        <v>26</v>
      </c>
      <c r="B1" s="17" t="s">
        <v>19</v>
      </c>
      <c r="C1" s="17" t="s">
        <v>27</v>
      </c>
      <c r="D1" s="17" t="s">
        <v>28</v>
      </c>
      <c r="E1" s="17" t="s">
        <v>29</v>
      </c>
      <c r="F1" s="17" t="s">
        <v>30</v>
      </c>
      <c r="G1" s="17"/>
      <c r="H1" s="17"/>
      <c r="I1" s="17"/>
      <c r="J1" s="17"/>
      <c r="K1" s="17"/>
    </row>
    <row r="2" ht="28.5" customHeight="1">
      <c r="A2" s="22" t="s">
        <v>32</v>
      </c>
      <c r="B2" s="24" t="s">
        <v>33</v>
      </c>
      <c r="C2" s="25" t="s">
        <v>36</v>
      </c>
      <c r="D2" s="35">
        <f>'LÍQUIDO FOLHA -1'!H6+'LÍQUIDO FOLHA -1'!H7+'CONSIGNAÇÕES FOLHA 1'!F131</f>
        <v>73367</v>
      </c>
      <c r="E2" s="24"/>
      <c r="F2" s="35">
        <f>D2+E2</f>
        <v>73367</v>
      </c>
      <c r="G2" s="30">
        <f>F2+F4</f>
        <v>73367</v>
      </c>
      <c r="H2" s="8"/>
      <c r="I2" s="8"/>
      <c r="J2" s="8"/>
      <c r="K2" s="8"/>
    </row>
    <row r="3" ht="14.25" customHeight="1">
      <c r="A3" s="22" t="s">
        <v>32</v>
      </c>
      <c r="B3" s="24" t="s">
        <v>41</v>
      </c>
      <c r="C3" s="25" t="s">
        <v>42</v>
      </c>
      <c r="D3" s="35"/>
      <c r="E3" s="24"/>
      <c r="F3" s="35" t="str">
        <f t="shared" ref="F3:F13" si="1">D3</f>
        <v/>
      </c>
      <c r="G3" s="37">
        <v>0.0</v>
      </c>
      <c r="H3" s="8"/>
      <c r="I3" s="8"/>
      <c r="J3" s="8"/>
      <c r="K3" s="8"/>
    </row>
    <row r="4" ht="14.25" customHeight="1">
      <c r="A4" s="22" t="s">
        <v>32</v>
      </c>
      <c r="B4" s="24" t="s">
        <v>45</v>
      </c>
      <c r="C4" s="25" t="s">
        <v>46</v>
      </c>
      <c r="D4" s="35">
        <f>'LÍQUIDO FOLHA -1'!H9</f>
        <v>0</v>
      </c>
      <c r="E4" s="24"/>
      <c r="F4" s="35">
        <f t="shared" si="1"/>
        <v>0</v>
      </c>
      <c r="G4" s="37">
        <v>0.0</v>
      </c>
      <c r="H4" s="8"/>
      <c r="I4" s="8"/>
      <c r="J4" s="8"/>
      <c r="K4" s="8"/>
    </row>
    <row r="5" ht="14.25" customHeight="1">
      <c r="A5" s="22" t="s">
        <v>32</v>
      </c>
      <c r="B5" s="24" t="s">
        <v>49</v>
      </c>
      <c r="C5" s="25" t="s">
        <v>50</v>
      </c>
      <c r="D5" s="35">
        <f>'LÍQUIDO FOLHA -1'!H18</f>
        <v>0</v>
      </c>
      <c r="E5" s="24"/>
      <c r="F5" s="35">
        <f t="shared" si="1"/>
        <v>0</v>
      </c>
      <c r="G5" s="30"/>
      <c r="H5" s="8"/>
      <c r="I5" s="8"/>
      <c r="J5" s="8"/>
      <c r="K5" s="8"/>
    </row>
    <row r="6" ht="14.25" customHeight="1">
      <c r="A6" s="22" t="s">
        <v>32</v>
      </c>
      <c r="B6" s="24" t="s">
        <v>52</v>
      </c>
      <c r="C6" s="25" t="s">
        <v>54</v>
      </c>
      <c r="D6" s="35">
        <f>'LÍQUIDO FOLHA -1'!H28+'CONSIGNAÇÕES FOLHA 1'!F98</f>
        <v>70249.57</v>
      </c>
      <c r="E6" s="24"/>
      <c r="F6" s="35">
        <f t="shared" si="1"/>
        <v>70249.57</v>
      </c>
      <c r="G6" s="44">
        <f>F6+F7+F8+F9</f>
        <v>338671.47</v>
      </c>
      <c r="H6" s="8"/>
      <c r="I6" s="8"/>
      <c r="J6" s="8"/>
      <c r="K6" s="8"/>
    </row>
    <row r="7" ht="14.25" customHeight="1">
      <c r="A7" s="22" t="s">
        <v>32</v>
      </c>
      <c r="B7" s="24" t="s">
        <v>57</v>
      </c>
      <c r="C7" s="25" t="s">
        <v>58</v>
      </c>
      <c r="D7" s="35">
        <f>'LÍQUIDO FOLHA -1'!H19+'LÍQUIDO FOLHA -1'!H33</f>
        <v>50514.25</v>
      </c>
      <c r="E7" s="24"/>
      <c r="F7" s="35">
        <f t="shared" si="1"/>
        <v>50514.25</v>
      </c>
      <c r="G7" s="48">
        <v>0.0</v>
      </c>
      <c r="H7" s="8"/>
      <c r="I7" s="47"/>
      <c r="J7" s="8"/>
      <c r="K7" s="8"/>
    </row>
    <row r="8" ht="14.25" customHeight="1">
      <c r="A8" s="22" t="s">
        <v>32</v>
      </c>
      <c r="B8" s="24" t="s">
        <v>62</v>
      </c>
      <c r="C8" s="25" t="s">
        <v>64</v>
      </c>
      <c r="D8" s="35">
        <f>'LÍQUIDO FOLHA -1'!H22+'LÍQUIDO FOLHA -1'!H34</f>
        <v>113.59</v>
      </c>
      <c r="E8" s="24"/>
      <c r="F8" s="35">
        <f t="shared" si="1"/>
        <v>113.59</v>
      </c>
      <c r="G8" s="48">
        <v>0.0</v>
      </c>
      <c r="H8" s="8"/>
      <c r="I8" s="8"/>
      <c r="J8" s="8"/>
      <c r="K8" s="8"/>
    </row>
    <row r="9" ht="14.25" customHeight="1">
      <c r="A9" s="22" t="s">
        <v>32</v>
      </c>
      <c r="B9" s="24" t="s">
        <v>73</v>
      </c>
      <c r="C9" s="25" t="s">
        <v>75</v>
      </c>
      <c r="D9" s="35">
        <f>'LÍQUIDO FOLHA -1'!G27+'LÍQUIDO FOLHA -1'!H35+'CONSIGNAÇÕES FOLHA 1'!G98</f>
        <v>217794.06</v>
      </c>
      <c r="E9" s="24"/>
      <c r="F9" s="35">
        <f t="shared" si="1"/>
        <v>217794.06</v>
      </c>
      <c r="G9" s="48">
        <v>0.0</v>
      </c>
      <c r="H9" s="8"/>
      <c r="I9" s="8"/>
      <c r="J9" s="8"/>
      <c r="K9" s="8"/>
    </row>
    <row r="10" ht="14.25" customHeight="1">
      <c r="A10" s="22" t="s">
        <v>32</v>
      </c>
      <c r="B10" s="24" t="s">
        <v>79</v>
      </c>
      <c r="C10" s="25" t="s">
        <v>80</v>
      </c>
      <c r="D10" s="35">
        <f>'LÍQUIDO FOLHA -1'!H8+'LÍQUIDO FOLHA -1'!H10+'LÍQUIDO FOLHA -1'!H39+'LÍQUIDO FOLHA -1'!H40</f>
        <v>0</v>
      </c>
      <c r="E10" s="24"/>
      <c r="F10" s="60">
        <f t="shared" si="1"/>
        <v>0</v>
      </c>
      <c r="G10" s="48">
        <v>0.0</v>
      </c>
      <c r="H10" s="8"/>
      <c r="I10" s="8"/>
      <c r="J10" s="8"/>
      <c r="K10" s="8"/>
    </row>
    <row r="11" ht="14.25" customHeight="1">
      <c r="A11" s="22" t="s">
        <v>32</v>
      </c>
      <c r="B11" s="24" t="s">
        <v>86</v>
      </c>
      <c r="C11" s="25" t="s">
        <v>87</v>
      </c>
      <c r="D11" s="35" t="str">
        <f>'LÍQUIDO FOLHA -1'!H11</f>
        <v/>
      </c>
      <c r="E11" s="24"/>
      <c r="F11" s="35" t="str">
        <f t="shared" si="1"/>
        <v/>
      </c>
      <c r="G11" s="48">
        <v>0.0</v>
      </c>
      <c r="H11" s="8"/>
      <c r="I11" s="8"/>
      <c r="J11" s="8"/>
      <c r="K11" s="8"/>
    </row>
    <row r="12" ht="30.0" customHeight="1">
      <c r="A12" s="22" t="s">
        <v>32</v>
      </c>
      <c r="B12" s="24" t="s">
        <v>92</v>
      </c>
      <c r="C12" s="25" t="s">
        <v>93</v>
      </c>
      <c r="D12" s="35">
        <f>'LÍQUIDO FOLHA -1'!H26+'LÍQUIDO FOLHA -1'!H41</f>
        <v>5448.82</v>
      </c>
      <c r="E12" s="24"/>
      <c r="F12" s="35">
        <f t="shared" si="1"/>
        <v>5448.82</v>
      </c>
      <c r="G12" s="72">
        <f>F11+F12</f>
        <v>5448.82</v>
      </c>
      <c r="H12" s="8"/>
      <c r="I12" s="8"/>
      <c r="J12" s="8"/>
      <c r="K12" s="30"/>
    </row>
    <row r="13" ht="30.0" customHeight="1">
      <c r="A13" s="22" t="s">
        <v>32</v>
      </c>
      <c r="B13" s="24" t="s">
        <v>95</v>
      </c>
      <c r="C13" s="25" t="s">
        <v>96</v>
      </c>
      <c r="D13" s="75">
        <v>0.0</v>
      </c>
      <c r="E13" s="24"/>
      <c r="F13" s="35">
        <f t="shared" si="1"/>
        <v>0</v>
      </c>
      <c r="G13" s="72"/>
      <c r="H13" s="8"/>
      <c r="I13" s="8"/>
      <c r="J13" s="8"/>
      <c r="K13" s="30"/>
    </row>
    <row r="14" ht="14.25" customHeight="1">
      <c r="A14" s="22" t="s">
        <v>32</v>
      </c>
      <c r="B14" s="24" t="s">
        <v>100</v>
      </c>
      <c r="C14" s="25" t="s">
        <v>101</v>
      </c>
      <c r="D14" s="35"/>
      <c r="E14" s="24"/>
      <c r="F14" s="75">
        <v>0.0</v>
      </c>
      <c r="G14" s="48">
        <v>0.0</v>
      </c>
      <c r="H14" s="8"/>
      <c r="I14" s="8"/>
      <c r="J14" s="8"/>
      <c r="K14" s="30"/>
    </row>
    <row r="15" ht="14.25" customHeight="1">
      <c r="A15" s="22" t="s">
        <v>32</v>
      </c>
      <c r="B15" s="24" t="s">
        <v>104</v>
      </c>
      <c r="C15" s="25" t="s">
        <v>105</v>
      </c>
      <c r="D15" s="35">
        <f>'LÍQUIDO FOLHA -1'!H14+'LÍQUIDO FOLHA -1'!H29+'LÍQUIDO FOLHA -1'!H43</f>
        <v>80698.04</v>
      </c>
      <c r="E15" s="24"/>
      <c r="F15" s="35">
        <f t="shared" ref="F15:F16" si="2">D15</f>
        <v>80698.04</v>
      </c>
      <c r="G15" s="86">
        <f>F15</f>
        <v>80698.04</v>
      </c>
      <c r="H15" s="8"/>
      <c r="I15" s="8"/>
      <c r="J15" s="8"/>
      <c r="K15" s="30"/>
    </row>
    <row r="16" ht="14.25" customHeight="1">
      <c r="A16" s="22" t="s">
        <v>32</v>
      </c>
      <c r="B16" s="24" t="s">
        <v>79</v>
      </c>
      <c r="C16" s="25" t="s">
        <v>109</v>
      </c>
      <c r="D16" s="35">
        <f>'CONSIGNAÇÕES FOLHA 1'!F141</f>
        <v>52085.18</v>
      </c>
      <c r="E16" s="24"/>
      <c r="F16" s="35">
        <f t="shared" si="2"/>
        <v>52085.18</v>
      </c>
      <c r="G16" s="44">
        <f>F10+F16+F21+F22+F23</f>
        <v>56928.68</v>
      </c>
      <c r="H16" s="30"/>
      <c r="I16" s="8"/>
      <c r="J16" s="8"/>
      <c r="K16" s="30"/>
    </row>
    <row r="17" ht="14.25" customHeight="1">
      <c r="A17" s="22" t="s">
        <v>32</v>
      </c>
      <c r="B17" s="24" t="s">
        <v>110</v>
      </c>
      <c r="C17" s="25" t="s">
        <v>111</v>
      </c>
      <c r="D17" s="75">
        <v>0.0</v>
      </c>
      <c r="E17" s="24"/>
      <c r="F17" s="75">
        <v>0.0</v>
      </c>
      <c r="G17" s="48">
        <v>0.0</v>
      </c>
      <c r="H17" s="47"/>
      <c r="I17" s="8"/>
      <c r="J17" s="8"/>
      <c r="K17" s="8"/>
    </row>
    <row r="18" ht="14.25" customHeight="1">
      <c r="A18" s="22" t="s">
        <v>32</v>
      </c>
      <c r="B18" s="24" t="s">
        <v>115</v>
      </c>
      <c r="C18" s="25" t="s">
        <v>116</v>
      </c>
      <c r="D18" s="35">
        <f>'CONSIGNAÇÕES FOLHA 1'!F153+'CONSIGNAÇÕES FOLHA 1'!F161</f>
        <v>1223.68</v>
      </c>
      <c r="E18" s="24"/>
      <c r="F18" s="35">
        <f t="shared" ref="F18:F23" si="3">D18</f>
        <v>1223.68</v>
      </c>
      <c r="G18" s="86">
        <f>F18</f>
        <v>1223.68</v>
      </c>
      <c r="H18" s="8"/>
      <c r="I18" s="8"/>
      <c r="J18" s="8"/>
      <c r="K18" s="8"/>
    </row>
    <row r="19" ht="14.25" customHeight="1">
      <c r="A19" s="22" t="s">
        <v>32</v>
      </c>
      <c r="B19" s="24" t="s">
        <v>122</v>
      </c>
      <c r="C19" s="25" t="s">
        <v>123</v>
      </c>
      <c r="D19" s="35">
        <f>'CONSIGNAÇÕES FOLHA 1'!F146+'CONSIGNAÇÕES FOLHA 1'!F169</f>
        <v>23039.57</v>
      </c>
      <c r="E19" s="24"/>
      <c r="F19" s="35">
        <f t="shared" si="3"/>
        <v>23039.57</v>
      </c>
      <c r="G19" s="48">
        <v>0.0</v>
      </c>
      <c r="H19" s="8"/>
      <c r="I19" s="8"/>
      <c r="J19" s="8"/>
      <c r="K19" s="8"/>
    </row>
    <row r="20" ht="14.25" customHeight="1">
      <c r="A20" s="22" t="s">
        <v>32</v>
      </c>
      <c r="B20" s="108" t="s">
        <v>128</v>
      </c>
      <c r="C20" s="109" t="s">
        <v>130</v>
      </c>
      <c r="D20" s="111">
        <f>'CONSIGNAÇÕES FOLHA 1'!F176+'CONSIGNAÇÕES FOLHA 1'!F181</f>
        <v>6257.76</v>
      </c>
      <c r="E20" s="108"/>
      <c r="F20" s="111">
        <f t="shared" si="3"/>
        <v>6257.76</v>
      </c>
      <c r="G20" s="44">
        <f>F19+F20</f>
        <v>29297.33</v>
      </c>
      <c r="H20" s="8"/>
      <c r="I20" s="8"/>
      <c r="J20" s="8"/>
      <c r="K20" s="8"/>
    </row>
    <row r="21" ht="14.25" customHeight="1">
      <c r="A21" s="22" t="s">
        <v>32</v>
      </c>
      <c r="B21" s="24" t="s">
        <v>135</v>
      </c>
      <c r="C21" s="25" t="s">
        <v>136</v>
      </c>
      <c r="D21" s="35">
        <f>'CONSIGNAÇÕES FOLHA 1'!F187</f>
        <v>0</v>
      </c>
      <c r="E21" s="24"/>
      <c r="F21" s="35">
        <f t="shared" si="3"/>
        <v>0</v>
      </c>
      <c r="G21" s="48">
        <v>0.0</v>
      </c>
      <c r="H21" s="8"/>
      <c r="I21" s="8"/>
      <c r="J21" s="8"/>
      <c r="K21" s="8"/>
    </row>
    <row r="22" ht="14.25" customHeight="1">
      <c r="A22" s="22" t="s">
        <v>139</v>
      </c>
      <c r="B22" s="24" t="s">
        <v>135</v>
      </c>
      <c r="C22" s="25" t="s">
        <v>140</v>
      </c>
      <c r="D22" s="35">
        <f>'CONSIGNAÇÕES FOLHA 1'!F196</f>
        <v>0</v>
      </c>
      <c r="E22" s="24"/>
      <c r="F22" s="111">
        <f t="shared" si="3"/>
        <v>0</v>
      </c>
      <c r="G22" s="86"/>
      <c r="H22" s="8"/>
      <c r="I22" s="8"/>
      <c r="J22" s="8"/>
      <c r="K22" s="8"/>
    </row>
    <row r="23" ht="15.0" customHeight="1">
      <c r="A23" s="60" t="s">
        <v>32</v>
      </c>
      <c r="B23" s="24" t="s">
        <v>144</v>
      </c>
      <c r="C23" s="25" t="s">
        <v>151</v>
      </c>
      <c r="D23" s="120">
        <f>'CONSIGNAÇÕES FOLHA 1'!F202</f>
        <v>4843.5</v>
      </c>
      <c r="E23" s="71"/>
      <c r="F23" s="123">
        <f t="shared" si="3"/>
        <v>4843.5</v>
      </c>
      <c r="G23" s="30">
        <f>SUM(G2:G21)</f>
        <v>585635.02</v>
      </c>
      <c r="H23" s="8"/>
      <c r="I23" s="30"/>
      <c r="J23" s="30"/>
      <c r="K23" s="8"/>
    </row>
    <row r="24" ht="15.0" customHeight="1">
      <c r="A24" s="30"/>
      <c r="B24" s="8"/>
      <c r="C24" s="8"/>
      <c r="D24" s="8"/>
      <c r="E24" s="8"/>
      <c r="F24" s="124">
        <f>SUM(F2:F23)</f>
        <v>585635.02</v>
      </c>
      <c r="G24" s="30">
        <f>F26-G23</f>
        <v>108772.61</v>
      </c>
      <c r="H24" s="8"/>
      <c r="I24" s="30"/>
      <c r="J24" s="30"/>
      <c r="K24" s="8"/>
    </row>
    <row r="25" ht="14.25" customHeight="1">
      <c r="A25" s="30"/>
      <c r="B25" s="8"/>
      <c r="C25" s="8"/>
      <c r="D25" s="8"/>
      <c r="E25" s="8"/>
      <c r="F25" s="30"/>
      <c r="G25" s="125"/>
      <c r="H25" s="125"/>
      <c r="I25" s="30"/>
      <c r="J25" s="30"/>
      <c r="K25" s="8"/>
    </row>
    <row r="26" ht="14.25" customHeight="1">
      <c r="A26" s="30"/>
      <c r="B26" s="8"/>
      <c r="C26" s="8"/>
      <c r="D26" s="8"/>
      <c r="E26" s="8"/>
      <c r="F26" s="126">
        <f>'CONSIGNAÇÕES FOLHA 1'!F212</f>
        <v>694407.63</v>
      </c>
      <c r="G26" s="30"/>
      <c r="H26" s="125"/>
      <c r="I26" s="30"/>
      <c r="J26" s="30"/>
      <c r="K26" s="8"/>
    </row>
    <row r="27" ht="14.25" customHeight="1">
      <c r="A27" s="30"/>
      <c r="B27" s="8"/>
      <c r="C27" s="8"/>
      <c r="D27" s="8"/>
      <c r="E27" s="8"/>
      <c r="F27" s="47">
        <f>F26-F24</f>
        <v>108772.61</v>
      </c>
      <c r="G27" s="47"/>
      <c r="H27" s="8"/>
      <c r="I27" s="30"/>
      <c r="J27" s="30"/>
      <c r="K27" s="8"/>
    </row>
    <row r="28" ht="14.25" customHeight="1">
      <c r="A28" s="30"/>
      <c r="B28" s="8"/>
      <c r="C28" s="8"/>
      <c r="D28" s="8"/>
      <c r="E28" s="8"/>
      <c r="F28" s="8"/>
      <c r="G28" s="8"/>
      <c r="H28" s="125"/>
      <c r="I28" s="30"/>
      <c r="J28" s="30"/>
      <c r="K28" s="8"/>
    </row>
    <row r="29" ht="14.25" customHeight="1">
      <c r="A29" s="30"/>
      <c r="B29" s="8"/>
      <c r="C29" s="8"/>
      <c r="D29" s="8"/>
      <c r="E29" s="8"/>
      <c r="F29" s="30"/>
      <c r="G29" s="8"/>
      <c r="H29" s="8"/>
      <c r="I29" s="8"/>
      <c r="J29" s="8"/>
      <c r="K29" s="8"/>
    </row>
    <row r="30" ht="14.25" customHeight="1">
      <c r="A30" s="30"/>
      <c r="B30" s="8"/>
      <c r="C30" s="8"/>
      <c r="D30" s="8"/>
      <c r="E30" s="8"/>
      <c r="F30" s="47">
        <f>F27-F28</f>
        <v>108772.61</v>
      </c>
      <c r="G30" s="8"/>
      <c r="H30" s="8"/>
      <c r="I30" s="8"/>
      <c r="J30" s="8"/>
      <c r="K30" s="8"/>
    </row>
    <row r="31" ht="14.25" customHeight="1">
      <c r="A31" s="30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ht="14.25" customHeight="1">
      <c r="A32" s="30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ht="14.25" customHeight="1">
      <c r="A33" s="30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 ht="14.25" customHeight="1">
      <c r="A34" s="30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ht="14.25" customHeight="1">
      <c r="A35" s="30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 ht="14.25" customHeight="1">
      <c r="A36" s="30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 ht="14.25" customHeight="1">
      <c r="A37" s="30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ht="14.25" customHeight="1">
      <c r="A38" s="30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ht="14.25" customHeight="1">
      <c r="A39" s="30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 ht="14.25" customHeight="1">
      <c r="A40" s="30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ht="14.25" customHeight="1">
      <c r="A41" s="30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ht="14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ht="14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ht="14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ht="14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ht="14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ht="14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ht="14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ht="14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ht="14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ht="14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ht="14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ht="14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ht="14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ht="14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ht="14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ht="14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ht="14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ht="14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ht="14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ht="14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ht="14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ht="14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ht="14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ht="14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ht="14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ht="14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ht="14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ht="14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ht="14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ht="14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ht="14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ht="14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ht="14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ht="14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ht="14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ht="14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ht="14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ht="14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ht="14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ht="14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ht="14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ht="14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ht="14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ht="14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ht="14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 ht="14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 ht="14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 ht="14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</row>
    <row r="90" ht="14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ht="14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</row>
    <row r="92" ht="14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 ht="14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 ht="14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</row>
    <row r="95" ht="14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</row>
    <row r="96" ht="14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</row>
    <row r="97" ht="14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</row>
    <row r="98" ht="14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</row>
    <row r="99" ht="14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ht="14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 ht="14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</row>
    <row r="102" ht="14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</row>
    <row r="103" ht="14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</row>
    <row r="104" ht="14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</row>
    <row r="105" ht="14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</row>
    <row r="106" ht="14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</row>
    <row r="107" ht="14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</row>
    <row r="108" ht="14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 ht="14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</row>
    <row r="110" ht="14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</row>
    <row r="111" ht="14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</row>
    <row r="112" ht="14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</row>
    <row r="113" ht="14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</row>
    <row r="114" ht="14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</row>
    <row r="115" ht="14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</row>
    <row r="116" ht="14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</row>
    <row r="117" ht="14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</row>
    <row r="118" ht="14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</row>
    <row r="119" ht="14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</row>
    <row r="120" ht="14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</row>
    <row r="121" ht="14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</row>
    <row r="122" ht="14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</row>
    <row r="123" ht="14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</row>
    <row r="124" ht="14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</row>
    <row r="125" ht="14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</row>
    <row r="126" ht="14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</row>
    <row r="127" ht="14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</row>
    <row r="128" ht="14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</row>
    <row r="129" ht="14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</row>
    <row r="130" ht="14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</row>
    <row r="131" ht="14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</row>
    <row r="132" ht="14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</row>
    <row r="133" ht="14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</row>
    <row r="134" ht="14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</row>
    <row r="135" ht="14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</row>
    <row r="136" ht="14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</row>
    <row r="137" ht="14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</row>
    <row r="138" ht="14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</row>
    <row r="139" ht="14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</row>
    <row r="140" ht="14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</row>
    <row r="141" ht="14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</row>
    <row r="142" ht="14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</row>
    <row r="143" ht="14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</row>
    <row r="144" ht="14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</row>
    <row r="145" ht="14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</row>
    <row r="146" ht="14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</row>
    <row r="147" ht="14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</row>
    <row r="148" ht="14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</row>
    <row r="150" ht="14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</row>
    <row r="151" ht="14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</row>
    <row r="152" ht="14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</row>
    <row r="153" ht="14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</row>
    <row r="154" ht="14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</row>
    <row r="155" ht="14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</row>
    <row r="156" ht="14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</row>
    <row r="158" ht="14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</row>
    <row r="159" ht="14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</row>
    <row r="160" ht="14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</row>
    <row r="161" ht="14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</row>
    <row r="162" ht="14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</row>
    <row r="163" ht="14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</row>
    <row r="164" ht="14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</row>
    <row r="165" ht="14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</row>
    <row r="167" ht="14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</row>
    <row r="168" ht="14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</row>
    <row r="169" ht="14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</row>
    <row r="170" ht="14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</row>
    <row r="171" ht="14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</row>
    <row r="172" ht="14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</row>
    <row r="173" ht="14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</row>
    <row r="175" ht="14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</row>
    <row r="176" ht="14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</row>
    <row r="177" ht="14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</row>
    <row r="178" ht="14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</row>
    <row r="179" ht="14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</row>
    <row r="180" ht="14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</row>
    <row r="181" ht="14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</row>
    <row r="183" ht="14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</row>
    <row r="184" ht="14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</row>
    <row r="185" ht="14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</row>
    <row r="186" ht="14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</row>
    <row r="187" ht="14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</row>
    <row r="188" ht="14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</row>
    <row r="189" ht="14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</row>
    <row r="191" ht="14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</row>
    <row r="192" ht="14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</row>
    <row r="193" ht="14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</row>
    <row r="194" ht="14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</row>
    <row r="195" ht="14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</row>
    <row r="196" ht="14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</row>
    <row r="197" ht="14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</row>
    <row r="199" ht="14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</row>
    <row r="200" ht="14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</row>
    <row r="201" ht="14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</row>
    <row r="202" ht="14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</row>
    <row r="203" ht="14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</row>
    <row r="204" ht="14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</row>
    <row r="205" ht="14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</row>
    <row r="206" ht="14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</row>
    <row r="207" ht="14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</row>
    <row r="208" ht="14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</row>
    <row r="209" ht="14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</row>
    <row r="210" ht="14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</row>
    <row r="211" ht="14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</row>
    <row r="212" ht="14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</row>
    <row r="213" ht="14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</row>
    <row r="214" ht="14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</row>
    <row r="215" ht="14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</row>
    <row r="216" ht="14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</row>
    <row r="217" ht="14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</row>
    <row r="218" ht="14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</row>
    <row r="220" ht="14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</row>
    <row r="221" ht="14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</row>
    <row r="222" ht="14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</row>
    <row r="223" ht="14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</row>
    <row r="224" ht="14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</row>
    <row r="225" ht="14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</row>
    <row r="226" ht="14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</row>
    <row r="227" ht="14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</row>
    <row r="228" ht="14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</row>
    <row r="229" ht="14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</row>
    <row r="230" ht="14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</row>
    <row r="231" ht="14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</row>
    <row r="232" ht="14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</row>
    <row r="233" ht="14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</row>
    <row r="234" ht="14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</row>
    <row r="235" ht="14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</row>
    <row r="236" ht="14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</row>
    <row r="237" ht="14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</row>
    <row r="238" ht="14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</row>
    <row r="239" ht="14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</row>
    <row r="240" ht="14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</row>
    <row r="241" ht="14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</row>
    <row r="242" ht="14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</row>
    <row r="243" ht="14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</row>
    <row r="244" ht="14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</row>
    <row r="245" ht="14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</row>
    <row r="246" ht="14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</row>
    <row r="247" ht="14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</row>
    <row r="248" ht="14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</row>
    <row r="249" ht="14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</row>
    <row r="250" ht="14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</row>
    <row r="251" ht="14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</row>
    <row r="252" ht="14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</row>
    <row r="253" ht="14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</row>
    <row r="254" ht="14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</row>
    <row r="255" ht="14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</row>
    <row r="256" ht="14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</row>
    <row r="257" ht="14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</row>
    <row r="258" ht="14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</row>
    <row r="259" ht="14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</row>
    <row r="260" ht="14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</row>
    <row r="261" ht="14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</row>
    <row r="262" ht="14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</row>
    <row r="263" ht="14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</row>
    <row r="264" ht="14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</row>
    <row r="265" ht="14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</row>
    <row r="266" ht="14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</row>
    <row r="267" ht="14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</row>
    <row r="268" ht="14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</row>
    <row r="269" ht="14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</row>
    <row r="270" ht="14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</row>
    <row r="271" ht="14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</row>
    <row r="272" ht="14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</row>
    <row r="273" ht="14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</row>
    <row r="274" ht="14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</row>
    <row r="275" ht="14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</row>
    <row r="276" ht="14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</row>
    <row r="277" ht="14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</row>
    <row r="278" ht="14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</row>
    <row r="279" ht="14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</row>
    <row r="280" ht="14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</row>
    <row r="281" ht="14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</row>
    <row r="282" ht="14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</row>
    <row r="283" ht="14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</row>
    <row r="284" ht="14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</row>
    <row r="285" ht="14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</row>
    <row r="286" ht="14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</row>
    <row r="287" ht="14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</row>
    <row r="288" ht="14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</row>
    <row r="289" ht="14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</row>
    <row r="290" ht="14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</row>
    <row r="291" ht="14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</row>
    <row r="292" ht="14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</row>
    <row r="293" ht="14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</row>
    <row r="294" ht="14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</row>
    <row r="295" ht="14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</row>
    <row r="296" ht="14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</row>
    <row r="297" ht="14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</row>
    <row r="298" ht="14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</row>
    <row r="299" ht="14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</row>
    <row r="300" ht="14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</row>
    <row r="301" ht="14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</row>
    <row r="302" ht="14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</row>
    <row r="303" ht="14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</row>
    <row r="304" ht="14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</row>
    <row r="305" ht="14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</row>
    <row r="306" ht="14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</row>
    <row r="307" ht="14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</row>
    <row r="308" ht="14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</row>
    <row r="309" ht="14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</row>
    <row r="310" ht="14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</row>
    <row r="311" ht="14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</row>
    <row r="312" ht="14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</row>
    <row r="313" ht="14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</row>
    <row r="314" ht="14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</row>
    <row r="315" ht="14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</row>
    <row r="316" ht="14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</row>
    <row r="317" ht="14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</row>
    <row r="318" ht="14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</row>
    <row r="319" ht="14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</row>
    <row r="320" ht="14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</row>
    <row r="321" ht="14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</row>
    <row r="322" ht="14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</row>
    <row r="323" ht="14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</row>
    <row r="324" ht="14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</row>
    <row r="325" ht="14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</row>
    <row r="326" ht="14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</row>
    <row r="327" ht="14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</row>
    <row r="328" ht="14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</row>
    <row r="329" ht="14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</row>
    <row r="330" ht="14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</row>
    <row r="331" ht="14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</row>
    <row r="332" ht="14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</row>
    <row r="333" ht="14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</row>
    <row r="334" ht="14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</row>
    <row r="335" ht="14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</row>
    <row r="336" ht="14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</row>
    <row r="337" ht="14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</row>
    <row r="338" ht="14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</row>
    <row r="339" ht="14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</row>
    <row r="340" ht="14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</row>
    <row r="341" ht="14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</row>
    <row r="342" ht="14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</row>
    <row r="343" ht="14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</row>
    <row r="344" ht="14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</row>
    <row r="345" ht="14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</row>
    <row r="346" ht="14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</row>
    <row r="347" ht="14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</row>
    <row r="348" ht="14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</row>
    <row r="349" ht="14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</row>
    <row r="350" ht="14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</row>
    <row r="351" ht="14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</row>
    <row r="352" ht="14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</row>
    <row r="353" ht="14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</row>
    <row r="354" ht="14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</row>
    <row r="355" ht="14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</row>
    <row r="356" ht="14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</row>
    <row r="357" ht="14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</row>
    <row r="358" ht="14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</row>
    <row r="359" ht="14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</row>
    <row r="360" ht="14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</row>
    <row r="361" ht="14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</row>
    <row r="362" ht="14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</row>
    <row r="363" ht="14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</row>
    <row r="364" ht="14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</row>
    <row r="365" ht="14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</row>
    <row r="366" ht="14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</row>
    <row r="367" ht="14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</row>
    <row r="368" ht="14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</row>
    <row r="369" ht="14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</row>
    <row r="370" ht="14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</row>
    <row r="371" ht="14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</row>
    <row r="372" ht="14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</row>
    <row r="373" ht="14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</row>
    <row r="374" ht="14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</row>
    <row r="375" ht="14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</row>
    <row r="376" ht="14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</row>
    <row r="377" ht="14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</row>
    <row r="378" ht="14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</row>
    <row r="379" ht="14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</row>
    <row r="380" ht="14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</row>
    <row r="381" ht="14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</row>
    <row r="382" ht="14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</row>
    <row r="383" ht="14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</row>
    <row r="384" ht="14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</row>
    <row r="385" ht="14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</row>
    <row r="386" ht="14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</row>
    <row r="387" ht="14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</row>
    <row r="388" ht="14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</row>
    <row r="389" ht="14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</row>
    <row r="390" ht="14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</row>
    <row r="391" ht="14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</row>
    <row r="392" ht="14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</row>
    <row r="393" ht="14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</row>
    <row r="394" ht="14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</row>
    <row r="395" ht="14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</row>
    <row r="396" ht="14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</row>
    <row r="397" ht="14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</row>
    <row r="398" ht="14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</row>
    <row r="399" ht="14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</row>
    <row r="400" ht="14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</row>
    <row r="401" ht="14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</row>
    <row r="402" ht="14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</row>
    <row r="403" ht="14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</row>
    <row r="404" ht="14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</row>
    <row r="405" ht="14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</row>
    <row r="406" ht="14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</row>
    <row r="407" ht="14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</row>
    <row r="408" ht="14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</row>
    <row r="409" ht="14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</row>
    <row r="410" ht="14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</row>
    <row r="411" ht="14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</row>
    <row r="412" ht="14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</row>
    <row r="413" ht="14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</row>
    <row r="414" ht="14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</row>
    <row r="415" ht="14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</row>
    <row r="416" ht="14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</row>
    <row r="417" ht="14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</row>
    <row r="418" ht="14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</row>
    <row r="419" ht="14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</row>
    <row r="420" ht="14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</row>
    <row r="421" ht="14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</row>
    <row r="422" ht="14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</row>
    <row r="423" ht="14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</row>
    <row r="424" ht="14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</row>
    <row r="425" ht="14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</row>
    <row r="426" ht="14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</row>
    <row r="427" ht="14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</row>
    <row r="428" ht="14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</row>
    <row r="429" ht="14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</row>
    <row r="430" ht="14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</row>
    <row r="431" ht="14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</row>
    <row r="432" ht="14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</row>
    <row r="433" ht="14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</row>
    <row r="434" ht="14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</row>
    <row r="435" ht="14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</row>
    <row r="436" ht="14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</row>
    <row r="437" ht="14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</row>
    <row r="438" ht="14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</row>
    <row r="439" ht="14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</row>
    <row r="440" ht="14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</row>
    <row r="441" ht="14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</row>
    <row r="442" ht="14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</row>
    <row r="443" ht="14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</row>
    <row r="444" ht="14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</row>
    <row r="445" ht="14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</row>
    <row r="446" ht="14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</row>
    <row r="447" ht="14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</row>
    <row r="448" ht="14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</row>
    <row r="449" ht="14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</row>
    <row r="450" ht="14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</row>
    <row r="451" ht="14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</row>
    <row r="452" ht="14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</row>
    <row r="453" ht="14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</row>
    <row r="454" ht="14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</row>
    <row r="455" ht="14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</row>
    <row r="456" ht="14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</row>
    <row r="457" ht="14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</row>
    <row r="458" ht="14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</row>
    <row r="459" ht="14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</row>
    <row r="460" ht="14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</row>
    <row r="461" ht="14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</row>
    <row r="462" ht="14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</row>
    <row r="463" ht="14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</row>
    <row r="464" ht="14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</row>
    <row r="465" ht="14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</row>
    <row r="466" ht="14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</row>
    <row r="467" ht="14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</row>
    <row r="468" ht="14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</row>
    <row r="469" ht="14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</row>
    <row r="470" ht="14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</row>
    <row r="471" ht="14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</row>
    <row r="472" ht="14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</row>
    <row r="473" ht="14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</row>
    <row r="474" ht="14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</row>
    <row r="475" ht="14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</row>
    <row r="476" ht="14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</row>
    <row r="477" ht="14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</row>
    <row r="478" ht="14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</row>
    <row r="479" ht="14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</row>
    <row r="480" ht="14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</row>
    <row r="481" ht="14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</row>
    <row r="482" ht="14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</row>
    <row r="483" ht="14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</row>
    <row r="484" ht="14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</row>
    <row r="485" ht="14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</row>
    <row r="486" ht="14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</row>
    <row r="487" ht="14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</row>
    <row r="488" ht="14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</row>
    <row r="489" ht="14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</row>
    <row r="490" ht="14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</row>
    <row r="491" ht="14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</row>
    <row r="492" ht="14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</row>
    <row r="493" ht="14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</row>
    <row r="494" ht="14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</row>
    <row r="495" ht="14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</row>
    <row r="496" ht="14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</row>
    <row r="497" ht="14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</row>
    <row r="498" ht="14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</row>
    <row r="499" ht="14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</row>
    <row r="500" ht="14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</row>
    <row r="501" ht="14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</row>
    <row r="502" ht="14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</row>
    <row r="503" ht="14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</row>
    <row r="504" ht="14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</row>
    <row r="505" ht="14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</row>
    <row r="506" ht="14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</row>
    <row r="507" ht="14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</row>
    <row r="508" ht="14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</row>
    <row r="509" ht="14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</row>
    <row r="510" ht="14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</row>
    <row r="511" ht="14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</row>
    <row r="512" ht="14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</row>
    <row r="513" ht="14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</row>
    <row r="514" ht="14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</row>
    <row r="515" ht="14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</row>
    <row r="516" ht="14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</row>
    <row r="517" ht="14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</row>
    <row r="518" ht="14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</row>
    <row r="519" ht="14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</row>
    <row r="520" ht="14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</row>
    <row r="521" ht="14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</row>
    <row r="522" ht="14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</row>
    <row r="523" ht="14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</row>
    <row r="524" ht="14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</row>
    <row r="525" ht="14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</row>
    <row r="526" ht="14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</row>
    <row r="527" ht="14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</row>
    <row r="528" ht="14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</row>
    <row r="529" ht="14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</row>
    <row r="530" ht="14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</row>
    <row r="531" ht="14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</row>
    <row r="532" ht="14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</row>
    <row r="533" ht="14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</row>
    <row r="534" ht="14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</row>
    <row r="535" ht="14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</row>
    <row r="536" ht="14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</row>
    <row r="537" ht="14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</row>
    <row r="538" ht="14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</row>
    <row r="539" ht="14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</row>
    <row r="540" ht="14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</row>
    <row r="541" ht="14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</row>
    <row r="542" ht="14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</row>
    <row r="543" ht="14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</row>
    <row r="544" ht="14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</row>
    <row r="545" ht="14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</row>
    <row r="546" ht="14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</row>
    <row r="547" ht="14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</row>
    <row r="548" ht="14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</row>
    <row r="549" ht="14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</row>
    <row r="550" ht="14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</row>
    <row r="551" ht="14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</row>
    <row r="552" ht="14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</row>
    <row r="553" ht="14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</row>
    <row r="554" ht="14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</row>
    <row r="555" ht="14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</row>
    <row r="556" ht="14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</row>
    <row r="557" ht="14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</row>
    <row r="558" ht="14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</row>
    <row r="559" ht="14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</row>
    <row r="560" ht="14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</row>
    <row r="561" ht="14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</row>
    <row r="562" ht="14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</row>
    <row r="563" ht="14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</row>
    <row r="564" ht="14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</row>
    <row r="565" ht="14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</row>
    <row r="566" ht="14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</row>
    <row r="567" ht="14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</row>
    <row r="568" ht="14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</row>
    <row r="569" ht="14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</row>
    <row r="570" ht="14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</row>
    <row r="571" ht="14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</row>
    <row r="572" ht="14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</row>
    <row r="573" ht="14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</row>
    <row r="574" ht="14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</row>
    <row r="575" ht="14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</row>
    <row r="576" ht="14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</row>
    <row r="577" ht="14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</row>
    <row r="578" ht="14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</row>
    <row r="579" ht="14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</row>
    <row r="580" ht="14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</row>
    <row r="581" ht="14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</row>
    <row r="582" ht="14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</row>
    <row r="583" ht="14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</row>
    <row r="584" ht="14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</row>
    <row r="585" ht="14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</row>
    <row r="586" ht="14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</row>
    <row r="587" ht="14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</row>
    <row r="588" ht="14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</row>
    <row r="589" ht="14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</row>
    <row r="590" ht="14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</row>
    <row r="591" ht="14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</row>
    <row r="592" ht="14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</row>
    <row r="593" ht="14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</row>
    <row r="594" ht="14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</row>
    <row r="595" ht="14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</row>
    <row r="596" ht="14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</row>
    <row r="597" ht="14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</row>
    <row r="598" ht="14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</row>
    <row r="599" ht="14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</row>
    <row r="600" ht="14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</row>
    <row r="601" ht="14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</row>
    <row r="602" ht="14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</row>
    <row r="603" ht="14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</row>
    <row r="604" ht="14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</row>
    <row r="605" ht="14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</row>
    <row r="606" ht="14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</row>
    <row r="607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</row>
    <row r="608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</row>
    <row r="609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</row>
    <row r="610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</row>
    <row r="611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</row>
    <row r="612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</row>
    <row r="613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</row>
    <row r="614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</row>
    <row r="615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</row>
    <row r="616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</row>
    <row r="617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</row>
    <row r="618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</row>
    <row r="619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</row>
    <row r="620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</row>
    <row r="621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</row>
    <row r="622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</row>
    <row r="623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</row>
    <row r="624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</row>
    <row r="625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</row>
    <row r="626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</row>
    <row r="627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</row>
    <row r="628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</row>
    <row r="629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</row>
    <row r="630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</row>
    <row r="631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</row>
    <row r="632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</row>
    <row r="633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</row>
    <row r="634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</row>
    <row r="635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</row>
    <row r="636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</row>
    <row r="637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</row>
    <row r="638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</row>
    <row r="639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</row>
    <row r="640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</row>
    <row r="641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</row>
    <row r="642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</row>
    <row r="643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</row>
    <row r="644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</row>
    <row r="645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</row>
    <row r="646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</row>
    <row r="647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</row>
    <row r="648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</row>
    <row r="649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</row>
    <row r="650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</row>
    <row r="651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</row>
    <row r="652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</row>
    <row r="653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</row>
    <row r="654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</row>
    <row r="655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</row>
    <row r="656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</row>
    <row r="657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</row>
    <row r="658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</row>
    <row r="659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</row>
    <row r="660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</row>
    <row r="661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</row>
    <row r="662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</row>
    <row r="663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</row>
    <row r="664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</row>
    <row r="665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</row>
    <row r="666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</row>
    <row r="667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</row>
    <row r="668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</row>
    <row r="669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</row>
    <row r="670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</row>
    <row r="671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</row>
    <row r="672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</row>
    <row r="673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</row>
    <row r="674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</row>
    <row r="675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</row>
    <row r="676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</row>
    <row r="677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</row>
    <row r="678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</row>
    <row r="679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</row>
    <row r="680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</row>
    <row r="681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</row>
    <row r="682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</row>
    <row r="683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</row>
    <row r="684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</row>
    <row r="685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</row>
    <row r="686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</row>
    <row r="687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</row>
    <row r="688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</row>
    <row r="689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</row>
    <row r="690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</row>
    <row r="691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</row>
    <row r="692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</row>
    <row r="693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</row>
    <row r="694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</row>
    <row r="695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</row>
    <row r="696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</row>
    <row r="697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</row>
    <row r="698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</row>
    <row r="699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</row>
    <row r="700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</row>
    <row r="701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</row>
    <row r="702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</row>
    <row r="703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</row>
    <row r="704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</row>
    <row r="705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</row>
    <row r="706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</row>
    <row r="707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</row>
    <row r="708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</row>
    <row r="709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</row>
    <row r="710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</row>
    <row r="711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</row>
    <row r="712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</row>
    <row r="713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</row>
    <row r="714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</row>
    <row r="715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</row>
    <row r="716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</row>
    <row r="717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</row>
    <row r="718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</row>
    <row r="719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</row>
    <row r="720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</row>
    <row r="721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</row>
    <row r="722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</row>
    <row r="723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</row>
    <row r="724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</row>
    <row r="725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</row>
    <row r="726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</row>
    <row r="727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</row>
    <row r="728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</row>
    <row r="729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</row>
    <row r="730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</row>
    <row r="731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</row>
    <row r="732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</row>
    <row r="733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</row>
    <row r="734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</row>
    <row r="735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</row>
    <row r="736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</row>
    <row r="737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</row>
    <row r="738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</row>
    <row r="739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</row>
    <row r="740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</row>
    <row r="741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</row>
    <row r="742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</row>
    <row r="743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</row>
    <row r="744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</row>
    <row r="745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</row>
    <row r="746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</row>
    <row r="747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</row>
    <row r="748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</row>
    <row r="749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</row>
    <row r="750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</row>
    <row r="751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</row>
    <row r="752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</row>
    <row r="753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</row>
    <row r="754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</row>
    <row r="755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</row>
    <row r="756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</row>
    <row r="757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</row>
    <row r="758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</row>
    <row r="759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</row>
    <row r="760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</row>
    <row r="761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</row>
    <row r="762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</row>
    <row r="763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</row>
    <row r="764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</row>
    <row r="765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</row>
    <row r="766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</row>
    <row r="767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</row>
    <row r="768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</row>
    <row r="769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</row>
    <row r="770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</row>
    <row r="771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</row>
    <row r="772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</row>
    <row r="773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</row>
    <row r="774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</row>
    <row r="775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</row>
    <row r="776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</row>
    <row r="777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</row>
    <row r="778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</row>
    <row r="779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</row>
    <row r="780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</row>
    <row r="781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</row>
    <row r="782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</row>
    <row r="783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</row>
    <row r="784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</row>
    <row r="785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</row>
    <row r="786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</row>
    <row r="787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</row>
    <row r="788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</row>
    <row r="789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</row>
    <row r="790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</row>
    <row r="791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</row>
    <row r="792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</row>
    <row r="793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</row>
    <row r="794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</row>
    <row r="795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</row>
    <row r="796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</row>
    <row r="797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</row>
    <row r="798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</row>
    <row r="799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</row>
    <row r="800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</row>
    <row r="801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</row>
    <row r="802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</row>
    <row r="803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</row>
    <row r="804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</row>
    <row r="805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</row>
    <row r="806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</row>
    <row r="807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</row>
    <row r="808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</row>
    <row r="809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</row>
    <row r="810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</row>
    <row r="811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</row>
    <row r="812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</row>
    <row r="813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</row>
    <row r="814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</row>
    <row r="815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</row>
    <row r="816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</row>
    <row r="817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</row>
    <row r="818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</row>
    <row r="819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</row>
    <row r="820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</row>
    <row r="821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</row>
    <row r="822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</row>
    <row r="823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</row>
    <row r="824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</row>
    <row r="825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</row>
    <row r="826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</row>
    <row r="827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</row>
    <row r="828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</row>
    <row r="829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</row>
    <row r="830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</row>
    <row r="831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</row>
    <row r="832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</row>
    <row r="833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</row>
    <row r="834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</row>
    <row r="835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</row>
    <row r="836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</row>
    <row r="837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</row>
    <row r="838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</row>
    <row r="839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</row>
    <row r="840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</row>
    <row r="841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</row>
    <row r="842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</row>
    <row r="843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</row>
    <row r="844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</row>
    <row r="845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</row>
    <row r="846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</row>
    <row r="847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</row>
    <row r="848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</row>
    <row r="849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</row>
    <row r="850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</row>
    <row r="851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</row>
    <row r="852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</row>
    <row r="853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</row>
    <row r="854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</row>
    <row r="855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</row>
    <row r="856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</row>
    <row r="857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</row>
    <row r="858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</row>
    <row r="859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</row>
    <row r="860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</row>
    <row r="861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</row>
    <row r="862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</row>
    <row r="863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</row>
    <row r="864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</row>
    <row r="865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</row>
    <row r="866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</row>
    <row r="867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</row>
    <row r="868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</row>
    <row r="869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</row>
    <row r="870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</row>
    <row r="871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</row>
    <row r="872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</row>
    <row r="873" ht="14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</row>
    <row r="874" ht="14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</row>
    <row r="875" ht="14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</row>
    <row r="876" ht="14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</row>
    <row r="877" ht="14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</row>
    <row r="878" ht="14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</row>
    <row r="879" ht="14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</row>
    <row r="880" ht="14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</row>
    <row r="881" ht="14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</row>
    <row r="882" ht="14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</row>
    <row r="883" ht="14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</row>
    <row r="884" ht="14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</row>
    <row r="885" ht="14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</row>
    <row r="886" ht="14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</row>
    <row r="887" ht="14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</row>
    <row r="888" ht="14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</row>
    <row r="889" ht="14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</row>
    <row r="890" ht="14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</row>
    <row r="891" ht="14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</row>
    <row r="892" ht="14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</row>
    <row r="893" ht="14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</row>
    <row r="894" ht="14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</row>
    <row r="895" ht="14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</row>
    <row r="896" ht="14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</row>
    <row r="897" ht="14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</row>
    <row r="898" ht="14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</row>
    <row r="899" ht="14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</row>
    <row r="900" ht="14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</row>
    <row r="901" ht="14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</row>
    <row r="902" ht="14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</row>
    <row r="903" ht="14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</row>
    <row r="904" ht="14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</row>
    <row r="905" ht="14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</row>
    <row r="906" ht="14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</row>
    <row r="907" ht="14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</row>
    <row r="908" ht="14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</row>
    <row r="909" ht="14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</row>
    <row r="910" ht="14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</row>
    <row r="911" ht="14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</row>
    <row r="912" ht="14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</row>
    <row r="913" ht="14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</row>
    <row r="914" ht="14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</row>
    <row r="915" ht="14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</row>
    <row r="916" ht="14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</row>
    <row r="917" ht="14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</row>
    <row r="918" ht="14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</row>
    <row r="919" ht="14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</row>
    <row r="920" ht="14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</row>
    <row r="921" ht="14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</row>
    <row r="922" ht="14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</row>
    <row r="923" ht="14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</row>
    <row r="924" ht="14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</row>
    <row r="925" ht="14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</row>
    <row r="926" ht="14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</row>
    <row r="927" ht="14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</row>
    <row r="928" ht="14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</row>
    <row r="929" ht="14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</row>
    <row r="930" ht="14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</row>
    <row r="931" ht="14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</row>
    <row r="932" ht="14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</row>
    <row r="933" ht="14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</row>
    <row r="934" ht="14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</row>
    <row r="935" ht="14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</row>
    <row r="936" ht="14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</row>
    <row r="937" ht="14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</row>
    <row r="938" ht="14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</row>
    <row r="939" ht="14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</row>
    <row r="940" ht="14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</row>
    <row r="941" ht="14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</row>
    <row r="942" ht="14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</row>
    <row r="943" ht="14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</row>
    <row r="944" ht="14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</row>
    <row r="945" ht="14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</row>
    <row r="946" ht="14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</row>
    <row r="947" ht="14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</row>
    <row r="948" ht="14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</row>
    <row r="949" ht="14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</row>
    <row r="950" ht="14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</row>
    <row r="951" ht="14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</row>
    <row r="952" ht="14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</row>
    <row r="953" ht="14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</row>
    <row r="954" ht="14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</row>
    <row r="955" ht="14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</row>
    <row r="956" ht="14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</row>
    <row r="957" ht="14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</row>
    <row r="958" ht="14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</row>
    <row r="959" ht="14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</row>
    <row r="960" ht="14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</row>
    <row r="961" ht="14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</row>
    <row r="962" ht="14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</row>
    <row r="963" ht="14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</row>
    <row r="964" ht="14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</row>
    <row r="965" ht="14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</row>
    <row r="966" ht="14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</row>
    <row r="967" ht="14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</row>
    <row r="968" ht="14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</row>
    <row r="969" ht="14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</row>
    <row r="970" ht="14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</row>
    <row r="971" ht="14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</row>
    <row r="972" ht="14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</row>
    <row r="973" ht="14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</row>
    <row r="974" ht="14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</row>
    <row r="975" ht="14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</row>
    <row r="976" ht="14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</row>
    <row r="977" ht="14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</row>
    <row r="978" ht="14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</row>
    <row r="979" ht="14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</row>
    <row r="980" ht="14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</row>
    <row r="981" ht="14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</row>
    <row r="982" ht="14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</row>
    <row r="983" ht="14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</row>
    <row r="984" ht="14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</row>
    <row r="985" ht="14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</row>
    <row r="986" ht="14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</row>
    <row r="987" ht="14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</row>
    <row r="988" ht="14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</row>
    <row r="989" ht="14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</row>
    <row r="990" ht="14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</row>
    <row r="991" ht="14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</row>
    <row r="992" ht="14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</row>
    <row r="993" ht="14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</row>
    <row r="994" ht="14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</row>
    <row r="995" ht="14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</row>
    <row r="996" ht="14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</row>
    <row r="997" ht="14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</row>
    <row r="998" ht="14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</row>
    <row r="999" ht="14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</row>
    <row r="1000" ht="14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</row>
  </sheetData>
  <printOptions/>
  <pageMargins bottom="0.7874015748031497" footer="0.0" header="0.0" left="0.5118110236220472" right="0.5118110236220472" top="0.7874015748031497"/>
  <pageSetup paperSize="9" scale="94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1B9A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14"/>
    <col customWidth="1" min="2" max="2" width="18.71"/>
    <col customWidth="1" min="3" max="3" width="17.14"/>
    <col customWidth="1" min="4" max="4" width="20.0"/>
    <col customWidth="1" min="5" max="5" width="17.29"/>
    <col customWidth="1" min="6" max="6" width="13.43"/>
    <col customWidth="1" min="7" max="7" width="10.43"/>
    <col customWidth="1" min="8" max="8" width="14.71"/>
    <col customWidth="1" min="9" max="9" width="13.0"/>
    <col customWidth="1" min="10" max="10" width="10.43"/>
    <col customWidth="1" min="11" max="26" width="8.71"/>
  </cols>
  <sheetData>
    <row r="1" ht="14.25" customHeight="1">
      <c r="A1" s="17" t="s">
        <v>321</v>
      </c>
      <c r="B1" s="17" t="s">
        <v>322</v>
      </c>
      <c r="C1" s="17" t="s">
        <v>324</v>
      </c>
      <c r="D1" s="17"/>
      <c r="E1" s="8"/>
      <c r="F1" s="8"/>
      <c r="G1" s="8"/>
      <c r="H1" s="8"/>
      <c r="I1" s="8"/>
      <c r="J1" s="8"/>
    </row>
    <row r="2" ht="14.25" customHeight="1">
      <c r="A2" s="30"/>
      <c r="B2" s="30">
        <f>B11+B14</f>
        <v>50739.25</v>
      </c>
      <c r="C2" s="30">
        <f>B10+B15</f>
        <v>113.59</v>
      </c>
      <c r="D2" s="30"/>
      <c r="E2" s="30"/>
      <c r="F2" s="30"/>
      <c r="G2" s="30"/>
      <c r="H2" s="30"/>
      <c r="I2" s="30"/>
      <c r="J2" s="8"/>
    </row>
    <row r="3" ht="15.0" customHeight="1">
      <c r="A3" s="30"/>
      <c r="B3" s="30"/>
      <c r="C3" s="30"/>
      <c r="D3" s="30"/>
      <c r="E3" s="30"/>
      <c r="F3" s="30"/>
      <c r="G3" s="255"/>
      <c r="H3" s="256"/>
      <c r="I3" s="256"/>
      <c r="J3" s="257"/>
    </row>
    <row r="4" ht="15.0" customHeight="1">
      <c r="A4" s="72">
        <f>B21-B4-C4</f>
        <v>250058.79</v>
      </c>
      <c r="B4" s="72">
        <f t="shared" ref="B4:C4" si="1">SUM(B2)</f>
        <v>50739.25</v>
      </c>
      <c r="C4" s="72">
        <f t="shared" si="1"/>
        <v>113.59</v>
      </c>
      <c r="D4" s="259">
        <f>A4+B4+C4</f>
        <v>300911.63</v>
      </c>
      <c r="E4" s="30"/>
      <c r="F4" s="30"/>
      <c r="G4" s="255"/>
      <c r="H4" s="256"/>
      <c r="I4" s="256"/>
      <c r="J4" s="257"/>
    </row>
    <row r="5" ht="15.0" customHeight="1">
      <c r="A5" s="30"/>
      <c r="B5" s="30"/>
      <c r="C5" s="30"/>
      <c r="D5" s="30"/>
      <c r="E5" s="30"/>
      <c r="F5" s="30"/>
      <c r="G5" s="255"/>
      <c r="H5" s="260"/>
      <c r="I5" s="256"/>
      <c r="J5" s="257"/>
    </row>
    <row r="6" ht="15.0" customHeight="1">
      <c r="A6" s="261" t="s">
        <v>345</v>
      </c>
      <c r="B6" s="261" t="s">
        <v>347</v>
      </c>
      <c r="C6" s="261" t="s">
        <v>349</v>
      </c>
      <c r="D6" s="126"/>
      <c r="E6" s="30"/>
      <c r="F6" s="30"/>
      <c r="G6" s="255"/>
      <c r="H6" s="256"/>
      <c r="I6" s="256"/>
      <c r="J6" s="257"/>
    </row>
    <row r="7" ht="15.0" customHeight="1">
      <c r="A7" s="30"/>
      <c r="B7" s="30"/>
      <c r="C7" s="30"/>
      <c r="D7" s="30"/>
      <c r="E7" s="30"/>
      <c r="F7" s="30"/>
      <c r="G7" s="255"/>
      <c r="H7" s="256"/>
      <c r="I7" s="256"/>
      <c r="J7" s="257"/>
    </row>
    <row r="8" ht="15.0" customHeight="1">
      <c r="A8" s="30"/>
      <c r="B8" s="30"/>
      <c r="C8" s="265" t="s">
        <v>311</v>
      </c>
      <c r="D8" s="13"/>
      <c r="E8" s="147"/>
      <c r="F8" s="267"/>
      <c r="G8" s="255"/>
      <c r="H8" s="256"/>
      <c r="I8" s="256"/>
      <c r="J8" s="257"/>
    </row>
    <row r="9" ht="15.0" customHeight="1">
      <c r="A9" s="86" t="s">
        <v>33</v>
      </c>
      <c r="B9" s="30">
        <f>'LÍQUIDO FOLHA -1'!H6</f>
        <v>63167.72</v>
      </c>
      <c r="C9" s="267">
        <f>'CONSIGNAÇÕES FOLHA 1'!F112</f>
        <v>0</v>
      </c>
      <c r="D9" s="267">
        <f t="shared" ref="D9:D20" si="2">B9+C9</f>
        <v>63167.72</v>
      </c>
      <c r="E9" s="267"/>
      <c r="F9" s="147"/>
      <c r="G9" s="255"/>
      <c r="H9" s="260"/>
      <c r="I9" s="256"/>
      <c r="J9" s="257"/>
    </row>
    <row r="10" ht="15.0" customHeight="1">
      <c r="A10" s="86" t="s">
        <v>45</v>
      </c>
      <c r="B10" s="30">
        <f>'LÍQUIDO FOLHA -1'!H9</f>
        <v>0</v>
      </c>
      <c r="C10" s="267"/>
      <c r="D10" s="267">
        <f t="shared" si="2"/>
        <v>0</v>
      </c>
      <c r="E10" s="267"/>
      <c r="F10" s="267"/>
      <c r="G10" s="255"/>
      <c r="H10" s="256"/>
      <c r="I10" s="256"/>
      <c r="J10" s="257"/>
    </row>
    <row r="11" ht="15.0" customHeight="1">
      <c r="A11" s="86" t="s">
        <v>41</v>
      </c>
      <c r="B11" s="30">
        <f>'LÍQUIDO FOLHA -1'!H7</f>
        <v>225</v>
      </c>
      <c r="C11" s="267"/>
      <c r="D11" s="267">
        <f t="shared" si="2"/>
        <v>225</v>
      </c>
      <c r="E11" s="267"/>
      <c r="F11" s="267"/>
      <c r="G11" s="255"/>
      <c r="H11" s="256"/>
      <c r="I11" s="256"/>
      <c r="J11" s="257"/>
    </row>
    <row r="12" ht="15.0" customHeight="1">
      <c r="A12" s="86" t="s">
        <v>79</v>
      </c>
      <c r="B12" s="30">
        <f>'LÍQUIDO FOLHA -1'!H8+'LÍQUIDO FOLHA -1'!H10+'LÍQUIDO FOLHA -1'!H39+'LÍQUIDO FOLHA -1'!H40</f>
        <v>0</v>
      </c>
      <c r="C12" s="267"/>
      <c r="D12" s="267">
        <f t="shared" si="2"/>
        <v>0</v>
      </c>
      <c r="E12" s="267"/>
      <c r="F12" s="267"/>
      <c r="G12" s="255"/>
      <c r="H12" s="256"/>
      <c r="I12" s="256"/>
      <c r="J12" s="257"/>
    </row>
    <row r="13" ht="15.0" customHeight="1">
      <c r="A13" s="86" t="s">
        <v>49</v>
      </c>
      <c r="B13" s="30">
        <f>'LÍQUIDO FOLHA -1'!H18</f>
        <v>0</v>
      </c>
      <c r="C13" s="267"/>
      <c r="D13" s="267">
        <f t="shared" si="2"/>
        <v>0</v>
      </c>
      <c r="E13" s="267"/>
      <c r="F13" s="267"/>
      <c r="G13" s="255"/>
      <c r="H13" s="256"/>
      <c r="I13" s="256"/>
      <c r="J13" s="257"/>
    </row>
    <row r="14" ht="15.0" customHeight="1">
      <c r="A14" s="86" t="s">
        <v>57</v>
      </c>
      <c r="B14" s="30">
        <f>'LÍQUIDO FOLHA -1'!H19+'LÍQUIDO FOLHA -1'!H33</f>
        <v>50514.25</v>
      </c>
      <c r="C14" s="267"/>
      <c r="D14" s="267">
        <f t="shared" si="2"/>
        <v>50514.25</v>
      </c>
      <c r="E14" s="267"/>
      <c r="F14" s="147"/>
      <c r="G14" s="255"/>
      <c r="H14" s="256"/>
      <c r="I14" s="260"/>
      <c r="J14" s="257"/>
    </row>
    <row r="15" ht="15.0" customHeight="1">
      <c r="A15" s="86" t="s">
        <v>62</v>
      </c>
      <c r="B15" s="30">
        <f>'LÍQUIDO FOLHA -1'!H22+'LÍQUIDO FOLHA -1'!H34</f>
        <v>113.59</v>
      </c>
      <c r="C15" s="267"/>
      <c r="D15" s="267">
        <f t="shared" si="2"/>
        <v>113.59</v>
      </c>
      <c r="E15" s="267"/>
      <c r="F15" s="267"/>
      <c r="G15" s="255"/>
      <c r="H15" s="256"/>
      <c r="I15" s="256"/>
      <c r="J15" s="257"/>
    </row>
    <row r="16" ht="15.0" customHeight="1">
      <c r="A16" s="86" t="s">
        <v>52</v>
      </c>
      <c r="B16" s="30">
        <f>'LÍQUIDO FOLHA -1'!H28+'LÍQUIDO FOLHA -1'!H36</f>
        <v>12904</v>
      </c>
      <c r="C16" s="267">
        <f>'CONSIGNAÇÕES FOLHA 1'!F72</f>
        <v>0</v>
      </c>
      <c r="D16" s="267">
        <f t="shared" si="2"/>
        <v>12904</v>
      </c>
      <c r="E16" s="267"/>
      <c r="F16" s="267"/>
      <c r="G16" s="255"/>
      <c r="H16" s="256"/>
      <c r="I16" s="256"/>
      <c r="J16" s="257"/>
    </row>
    <row r="17" ht="15.0" customHeight="1">
      <c r="A17" s="296" t="s">
        <v>104</v>
      </c>
      <c r="B17" s="30"/>
      <c r="C17" s="267"/>
      <c r="D17" s="267">
        <f t="shared" si="2"/>
        <v>0</v>
      </c>
      <c r="E17" s="267"/>
      <c r="F17" s="285"/>
      <c r="G17" s="299"/>
      <c r="H17" s="256"/>
      <c r="I17" s="256"/>
      <c r="J17" s="257"/>
    </row>
    <row r="18" ht="15.0" customHeight="1">
      <c r="A18" s="296" t="s">
        <v>73</v>
      </c>
      <c r="B18" s="30">
        <f>'LÍQUIDO FOLHA -1'!H27+'LÍQUIDO FOLHA -1'!H35</f>
        <v>168538.25</v>
      </c>
      <c r="C18" s="267">
        <f>'CONSIGNAÇÕES FOLHA 1'!G72</f>
        <v>0</v>
      </c>
      <c r="D18" s="267">
        <f t="shared" si="2"/>
        <v>168538.25</v>
      </c>
      <c r="E18" s="267"/>
      <c r="F18" s="301"/>
      <c r="G18" s="299"/>
      <c r="H18" s="256"/>
      <c r="I18" s="303"/>
      <c r="J18" s="257"/>
    </row>
    <row r="19" ht="15.0" customHeight="1">
      <c r="A19" s="296" t="s">
        <v>92</v>
      </c>
      <c r="B19" s="30">
        <f>'LÍQUIDO FOLHA -1'!H41+'LÍQUIDO FOLHA -1'!H26</f>
        <v>5448.82</v>
      </c>
      <c r="C19" s="304">
        <v>0.0</v>
      </c>
      <c r="D19" s="147">
        <f t="shared" si="2"/>
        <v>5448.82</v>
      </c>
      <c r="E19" s="267"/>
      <c r="F19" s="301"/>
      <c r="G19" s="299"/>
      <c r="H19" s="305"/>
      <c r="I19" s="257"/>
      <c r="J19" s="257"/>
    </row>
    <row r="20" ht="15.0" customHeight="1">
      <c r="A20" s="296" t="s">
        <v>86</v>
      </c>
      <c r="B20" s="30" t="str">
        <f>'LÍQUIDO FOLHA -1'!H11</f>
        <v/>
      </c>
      <c r="C20" s="147"/>
      <c r="D20" s="147">
        <f t="shared" si="2"/>
        <v>0</v>
      </c>
      <c r="E20" s="267"/>
      <c r="F20" s="301"/>
      <c r="G20" s="299"/>
      <c r="H20" s="305"/>
      <c r="I20" s="257"/>
      <c r="J20" s="257"/>
    </row>
    <row r="21" ht="15.0" customHeight="1">
      <c r="A21" s="8"/>
      <c r="B21" s="306">
        <f>SUM(B9:B20)</f>
        <v>300911.63</v>
      </c>
      <c r="C21" s="307">
        <f>SUM(C9:C19)</f>
        <v>0</v>
      </c>
      <c r="D21" s="259">
        <f>SUM(D9:D20)</f>
        <v>300911.63</v>
      </c>
      <c r="E21" s="147"/>
      <c r="F21" s="301"/>
      <c r="G21" s="299"/>
      <c r="H21" s="257"/>
      <c r="I21" s="303"/>
      <c r="J21" s="257"/>
    </row>
    <row r="22" ht="15.0" customHeight="1">
      <c r="A22" s="296" t="s">
        <v>395</v>
      </c>
      <c r="B22" s="308">
        <f>'LÍQUIDO FOLHA -1'!I62</f>
        <v>471029.4</v>
      </c>
      <c r="C22" s="30"/>
      <c r="D22" s="47"/>
      <c r="E22" s="47"/>
      <c r="F22" s="8"/>
      <c r="G22" s="299"/>
      <c r="H22" s="257"/>
      <c r="I22" s="257"/>
      <c r="J22" s="257"/>
    </row>
    <row r="23" ht="15.0" customHeight="1">
      <c r="A23" s="309" t="s">
        <v>397</v>
      </c>
      <c r="B23" s="30">
        <f>B22-B21</f>
        <v>170117.77</v>
      </c>
      <c r="C23" s="30"/>
      <c r="D23" s="8"/>
      <c r="E23" s="8"/>
      <c r="F23" s="8"/>
      <c r="G23" s="299"/>
      <c r="H23" s="257"/>
      <c r="I23" s="257"/>
      <c r="J23" s="257"/>
    </row>
    <row r="24" ht="14.25" customHeight="1">
      <c r="A24" s="8"/>
      <c r="B24" s="30"/>
      <c r="C24" s="30"/>
      <c r="D24" s="8"/>
      <c r="E24" s="8"/>
      <c r="F24" s="8"/>
      <c r="G24" s="8"/>
      <c r="H24" s="285"/>
      <c r="I24" s="285"/>
      <c r="J24" s="285"/>
    </row>
    <row r="25" ht="14.25" customHeight="1">
      <c r="A25" s="8"/>
      <c r="B25" s="30"/>
      <c r="C25" s="30"/>
      <c r="D25" s="8"/>
      <c r="E25" s="8"/>
      <c r="F25" s="8"/>
      <c r="G25" s="8"/>
      <c r="H25" s="285"/>
      <c r="I25" s="285"/>
      <c r="J25" s="285"/>
    </row>
    <row r="26" ht="14.25" customHeight="1">
      <c r="A26" s="8"/>
      <c r="B26" s="47"/>
      <c r="C26" s="8"/>
      <c r="D26" s="8"/>
      <c r="E26" s="8"/>
      <c r="F26" s="8"/>
      <c r="G26" s="8"/>
      <c r="H26" s="8"/>
      <c r="I26" s="8"/>
      <c r="J26" s="8"/>
    </row>
    <row r="27" ht="14.25" customHeight="1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ht="14.25" customHeight="1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ht="14.25" customHeight="1">
      <c r="A29" s="8"/>
      <c r="B29" s="8"/>
      <c r="C29" s="8"/>
      <c r="D29" s="47"/>
      <c r="E29" s="8"/>
      <c r="F29" s="8"/>
      <c r="G29" s="8"/>
      <c r="H29" s="8"/>
      <c r="I29" s="8"/>
      <c r="J29" s="8"/>
    </row>
    <row r="30" ht="14.25" customHeight="1">
      <c r="A30" s="8"/>
      <c r="B30" s="8"/>
      <c r="C30" s="47"/>
      <c r="D30" s="8"/>
      <c r="E30" s="8"/>
      <c r="F30" s="8"/>
      <c r="G30" s="8"/>
      <c r="H30" s="8"/>
      <c r="I30" s="8"/>
      <c r="J30" s="8"/>
    </row>
    <row r="31" ht="14.25" customHeight="1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ht="14.25" customHeight="1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ht="14.25" customHeight="1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ht="14.25" customHeight="1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ht="14.25" customHeight="1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4.25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4.25" customHeight="1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4.25" customHeight="1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4.25" customHeight="1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4.2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4.25" customHeight="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4.25" customHeigh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4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4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4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4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4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4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4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4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4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4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4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4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4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4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4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4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4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4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4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4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4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4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4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4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4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4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4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4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4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4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4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4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4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4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4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4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4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4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4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4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4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4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4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4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4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4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4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4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4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4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4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4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4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4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4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4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4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4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4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4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4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4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4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4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4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4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4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4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4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4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4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4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4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4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4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4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4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4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4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4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4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4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4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4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4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4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4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4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4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4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4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4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4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4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4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4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4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4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4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4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4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4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4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4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4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4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4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4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4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4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4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4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4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4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4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4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4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4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4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4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4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4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4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4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4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4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4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4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4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4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4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4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4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4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4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4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4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4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4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4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4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4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4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4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4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4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4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4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4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4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4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4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4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4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4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4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4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4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4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4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4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4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4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4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4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4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4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4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4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4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4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4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4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4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4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4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4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4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4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4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4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4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4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4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4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4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4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4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4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4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4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4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4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4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4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4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4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4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4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4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4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4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4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4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4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4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4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4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4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4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4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4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4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4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4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4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4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4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4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4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4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4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4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4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4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4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4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4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4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4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4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4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4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4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4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4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4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4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4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4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4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4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4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4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4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4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4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4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4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4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4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4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4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4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4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4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4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4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4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4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4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4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4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4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4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4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4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4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4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4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4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4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4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4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4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4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4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4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4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4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4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4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4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4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4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4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4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4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4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4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4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4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4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4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4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4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4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4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4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4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4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4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4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4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4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4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4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4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4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4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4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4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4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4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4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4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4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4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4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4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4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4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4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4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4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4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4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4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4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4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4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4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4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4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4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4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4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4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4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4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4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4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4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4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4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4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4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4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4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4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4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4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4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4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4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4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4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4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4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4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4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4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4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4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4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4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4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4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4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4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4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4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4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4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4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4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4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4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4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4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4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4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4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4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4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4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4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4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4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4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4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4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4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4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4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4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4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4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4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4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4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4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4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4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4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4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4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4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4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4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4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4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4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4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4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4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4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4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4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4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4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4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4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4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4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4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4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4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4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4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4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4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4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4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4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4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4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4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4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4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4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4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4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4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4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4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4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4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4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4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4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4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4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4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4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4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4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4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4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4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4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4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4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4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4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4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4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4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4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4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4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4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4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4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4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4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4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4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4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4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4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4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4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4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4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4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4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4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4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4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4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4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4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4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4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4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4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4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4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4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4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4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4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4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4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4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4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4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4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4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4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4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4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4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4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4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4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4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4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4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4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4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4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4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4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4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4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4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4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4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4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4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4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4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4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4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4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4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4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4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4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4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4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4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4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4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4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4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4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4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4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4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4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4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4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4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4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4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4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4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4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4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4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4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4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4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4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4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4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4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4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4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4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4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4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4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4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4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4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4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4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4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4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4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4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4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4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4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4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4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4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4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4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4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4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4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4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4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4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4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4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4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4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4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4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4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4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4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4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4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4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4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4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4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4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4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4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4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4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4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4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4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4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4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4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4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4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4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4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4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4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4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4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4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4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4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4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4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4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4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4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4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4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4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4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4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4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4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4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4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4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4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4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4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4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4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4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4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4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4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4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4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4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4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4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4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4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4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4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4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4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4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4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4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4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4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4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4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4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4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4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4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4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4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1">
    <mergeCell ref="C8:D8"/>
  </mergeCells>
  <printOptions/>
  <pageMargins bottom="0.787401575" footer="0.0" header="0.0" left="0.511811024" right="0.511811024" top="0.787401575"/>
  <pageSetup paperSize="9" scale="98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38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6.43"/>
    <col customWidth="1" min="3" max="4" width="14.71"/>
    <col customWidth="1" min="5" max="5" width="15.71"/>
    <col customWidth="1" min="6" max="6" width="16.29"/>
    <col customWidth="1" min="7" max="7" width="14.43"/>
    <col customWidth="1" min="8" max="8" width="13.43"/>
    <col customWidth="1" min="9" max="10" width="12.71"/>
    <col customWidth="1" min="11" max="11" width="18.14"/>
    <col customWidth="1" min="12" max="13" width="16.14"/>
    <col customWidth="1" min="14" max="14" width="16.43"/>
    <col customWidth="1" min="15" max="15" width="21.0"/>
    <col customWidth="1" min="16" max="16" width="16.29"/>
    <col customWidth="1" min="17" max="17" width="15.71"/>
    <col customWidth="1" min="18" max="18" width="9.14"/>
    <col customWidth="1" min="19" max="20" width="11.43"/>
    <col customWidth="1" min="21" max="26" width="9.14"/>
  </cols>
  <sheetData>
    <row r="1" ht="15.0" customHeight="1">
      <c r="A1" s="448" t="s">
        <v>491</v>
      </c>
      <c r="B1" s="448" t="s">
        <v>492</v>
      </c>
      <c r="C1" s="448" t="s">
        <v>493</v>
      </c>
      <c r="D1" s="448" t="s">
        <v>494</v>
      </c>
      <c r="E1" s="448" t="s">
        <v>495</v>
      </c>
      <c r="F1" s="448" t="s">
        <v>73</v>
      </c>
      <c r="G1" s="448" t="s">
        <v>57</v>
      </c>
      <c r="H1" s="448" t="s">
        <v>62</v>
      </c>
      <c r="I1" s="448" t="s">
        <v>137</v>
      </c>
      <c r="J1" s="448" t="s">
        <v>496</v>
      </c>
      <c r="K1" s="448" t="s">
        <v>122</v>
      </c>
      <c r="L1" s="448" t="s">
        <v>497</v>
      </c>
      <c r="M1" s="448" t="s">
        <v>498</v>
      </c>
      <c r="N1" s="448" t="s">
        <v>499</v>
      </c>
      <c r="O1" s="448" t="s">
        <v>128</v>
      </c>
      <c r="P1" s="18"/>
      <c r="Q1" s="500"/>
      <c r="R1" s="18"/>
      <c r="S1" s="18"/>
      <c r="T1" s="17"/>
      <c r="U1" s="8"/>
      <c r="V1" s="8"/>
      <c r="W1" s="8"/>
      <c r="X1" s="8"/>
      <c r="Y1" s="8"/>
      <c r="Z1" s="8"/>
    </row>
    <row r="2" ht="15.0" customHeight="1">
      <c r="A2" s="34">
        <f>'LÍQUIDO FOLHA -1'!H6</f>
        <v>63167.72</v>
      </c>
      <c r="B2" s="255">
        <f>'CONSIGNAÇÕES FOLHA 1'!F141</f>
        <v>52085.18</v>
      </c>
      <c r="C2" s="255">
        <f>'LÍQUIDO FOLHA -1'!H14</f>
        <v>2800</v>
      </c>
      <c r="D2" s="255">
        <f>'LÍQUIDO FOLHA -1'!H49</f>
        <v>7713.54</v>
      </c>
      <c r="E2" s="501">
        <f>'LÍQUIDO FOLHA -1'!H28</f>
        <v>12904</v>
      </c>
      <c r="F2" s="255">
        <f>'LÍQUIDO FOLHA -1'!H27</f>
        <v>28173.56</v>
      </c>
      <c r="G2" s="255">
        <f>'LÍQUIDO FOLHA -1'!H19</f>
        <v>32736.28</v>
      </c>
      <c r="H2" s="255">
        <f>'LÍQUIDO FOLHA -1'!H22</f>
        <v>113.59</v>
      </c>
      <c r="I2" s="501">
        <f>'LÍQUIDO FOLHA -1'!G20</f>
        <v>0</v>
      </c>
      <c r="J2" s="501">
        <f>'LÍQUIDO FOLHA -1'!H52</f>
        <v>0</v>
      </c>
      <c r="K2" s="501">
        <f>'CONSIGNAÇÕES FOLHA 1'!F146</f>
        <v>18683.37</v>
      </c>
      <c r="L2" s="501">
        <f>'LÍQUIDO FOLHA -1'!H25</f>
        <v>15935.28</v>
      </c>
      <c r="M2" s="501">
        <f>'LÍQUIDO FOLHA -1'!H24</f>
        <v>5172.33</v>
      </c>
      <c r="N2" s="501">
        <f>'LÍQUIDO FOLHA -1'!H23</f>
        <v>0</v>
      </c>
      <c r="O2" s="501">
        <f>'CONSIGNAÇÕES FOLHA 1'!F176</f>
        <v>6257.76</v>
      </c>
      <c r="P2" s="30"/>
      <c r="Q2" s="502"/>
      <c r="R2" s="267"/>
      <c r="S2" s="267"/>
      <c r="T2" s="285"/>
      <c r="U2" s="8"/>
      <c r="V2" s="8"/>
      <c r="W2" s="8"/>
      <c r="X2" s="8"/>
      <c r="Y2" s="8"/>
      <c r="Z2" s="8"/>
    </row>
    <row r="3" ht="15.0" customHeight="1">
      <c r="A3" s="503">
        <f>'LÍQUIDO FOLHA -1'!H7</f>
        <v>225</v>
      </c>
      <c r="B3" s="30">
        <f>'LÍQUIDO FOLHA -1'!H39</f>
        <v>0</v>
      </c>
      <c r="C3" s="504">
        <f>'LÍQUIDO FOLHA -1'!H29</f>
        <v>28006.17</v>
      </c>
      <c r="D3" s="255">
        <f>'CONSIGNAÇÕES FOLHA 1'!H98</f>
        <v>13056.01</v>
      </c>
      <c r="E3" s="255">
        <f>'CONSIGNAÇÕES FOLHA 1'!F98</f>
        <v>57345.57</v>
      </c>
      <c r="F3" s="501">
        <f>'LÍQUIDO FOLHA -1'!H35</f>
        <v>140364.69</v>
      </c>
      <c r="G3" s="255">
        <f>'LÍQUIDO FOLHA -1'!H33</f>
        <v>17777.97</v>
      </c>
      <c r="H3" s="255">
        <f>'LÍQUIDO FOLHA -1'!G34</f>
        <v>0</v>
      </c>
      <c r="I3" s="505">
        <f>'LÍQUIDO FOLHA -1'!H21</f>
        <v>0</v>
      </c>
      <c r="J3" s="505"/>
      <c r="K3" s="501">
        <f>'CONSIGNAÇÕES FOLHA 1'!F169</f>
        <v>4356.2</v>
      </c>
      <c r="L3" s="501">
        <f>'LÍQUIDO FOLHA -1'!H37</f>
        <v>23661.94</v>
      </c>
      <c r="M3" s="501">
        <f>'LÍQUIDO FOLHA -1'!H38</f>
        <v>25229.93</v>
      </c>
      <c r="N3" s="501">
        <f>'LÍQUIDO FOLHA -1'!H42</f>
        <v>1000</v>
      </c>
      <c r="O3" s="501">
        <f>'CONSIGNAÇÕES FOLHA 1'!F181</f>
        <v>0</v>
      </c>
      <c r="P3" s="30"/>
      <c r="Q3" s="502"/>
      <c r="R3" s="267"/>
      <c r="S3" s="267"/>
      <c r="T3" s="285"/>
      <c r="U3" s="8"/>
      <c r="V3" s="8"/>
      <c r="W3" s="8"/>
      <c r="X3" s="8"/>
      <c r="Y3" s="8"/>
      <c r="Z3" s="8"/>
    </row>
    <row r="4" ht="15.0" customHeight="1">
      <c r="A4" s="506">
        <f>'LÍQUIDO FOLHA -1'!G10</f>
        <v>0</v>
      </c>
      <c r="B4" s="255">
        <f>'LÍQUIDO FOLHA -1'!H40</f>
        <v>0</v>
      </c>
      <c r="C4" s="255">
        <f>'LÍQUIDO FOLHA -1'!H43</f>
        <v>49891.87</v>
      </c>
      <c r="D4" s="255"/>
      <c r="E4" s="507">
        <v>0.0</v>
      </c>
      <c r="F4" s="255">
        <f>'CONSIGNAÇÕES FOLHA 1'!G98</f>
        <v>49255.81</v>
      </c>
      <c r="G4" s="504">
        <f>'LÍQUIDO FOLHA -1'!H47</f>
        <v>48.44</v>
      </c>
      <c r="H4" s="504">
        <f>'LÍQUIDO FOLHA -1'!H48</f>
        <v>17.98</v>
      </c>
      <c r="I4" s="255">
        <f t="shared" ref="I4:J4" si="1">SUM(I2:I3)</f>
        <v>0</v>
      </c>
      <c r="J4" s="255">
        <f t="shared" si="1"/>
        <v>0</v>
      </c>
      <c r="K4" s="504">
        <f>'CONSIGNAÇÕES FOLHA 1'!F202</f>
        <v>4843.5</v>
      </c>
      <c r="L4" s="255">
        <f>'LÍQUIDO FOLHA -1'!H51</f>
        <v>3789.59</v>
      </c>
      <c r="M4" s="508">
        <v>0.0</v>
      </c>
      <c r="N4" s="501">
        <f>'LÍQUIDO FOLHA -1'!H12</f>
        <v>2500</v>
      </c>
      <c r="O4" s="507">
        <v>0.0</v>
      </c>
      <c r="P4" s="30"/>
      <c r="Q4" s="502"/>
      <c r="R4" s="267"/>
      <c r="S4" s="267"/>
      <c r="T4" s="285"/>
      <c r="U4" s="8"/>
      <c r="V4" s="8"/>
      <c r="W4" s="8"/>
      <c r="X4" s="8"/>
      <c r="Y4" s="8"/>
      <c r="Z4" s="8"/>
    </row>
    <row r="5" ht="15.0" customHeight="1">
      <c r="A5" s="506">
        <f>'CONSIGNAÇÕES FOLHA 1'!F139</f>
        <v>16690.74</v>
      </c>
      <c r="B5" s="255">
        <f>'CONSIGNAÇÕES FOLHA 1'!F187</f>
        <v>0</v>
      </c>
      <c r="C5" s="255">
        <f>'LÍQUIDO FOLHA -1'!H57</f>
        <v>3789.59</v>
      </c>
      <c r="D5" s="255"/>
      <c r="E5" s="255"/>
      <c r="F5" s="255"/>
      <c r="G5" s="255"/>
      <c r="H5" s="255"/>
      <c r="I5" s="255"/>
      <c r="J5" s="255"/>
      <c r="K5" s="255"/>
      <c r="L5" s="255"/>
      <c r="M5" s="504"/>
      <c r="N5" s="255"/>
      <c r="O5" s="255"/>
      <c r="P5" s="30"/>
      <c r="Q5" s="502"/>
      <c r="R5" s="267"/>
      <c r="S5" s="267"/>
      <c r="T5" s="285"/>
      <c r="U5" s="8"/>
      <c r="V5" s="8"/>
      <c r="W5" s="8"/>
      <c r="X5" s="8"/>
      <c r="Y5" s="8"/>
      <c r="Z5" s="8"/>
    </row>
    <row r="6" ht="15.0" customHeight="1">
      <c r="A6" s="503">
        <f>'CONSIGNAÇÕES FOLHA 1'!F131</f>
        <v>9974.28</v>
      </c>
      <c r="B6" s="256">
        <f>'CONSIGNAÇÕES FOLHA 1'!F196</f>
        <v>0</v>
      </c>
      <c r="C6" s="509">
        <v>0.0</v>
      </c>
      <c r="D6" s="260"/>
      <c r="E6" s="507">
        <v>0.0</v>
      </c>
      <c r="F6" s="507">
        <v>0.0</v>
      </c>
      <c r="G6" s="507">
        <v>0.0</v>
      </c>
      <c r="H6" s="507">
        <v>0.0</v>
      </c>
      <c r="I6" s="255"/>
      <c r="J6" s="255"/>
      <c r="K6" s="510">
        <v>0.0</v>
      </c>
      <c r="L6" s="256"/>
      <c r="M6" s="256"/>
      <c r="N6" s="256"/>
      <c r="O6" s="511">
        <f>SUM(O2:O4)</f>
        <v>6257.76</v>
      </c>
      <c r="P6" s="30"/>
      <c r="Q6" s="502"/>
      <c r="R6" s="267"/>
      <c r="S6" s="267"/>
      <c r="T6" s="301"/>
      <c r="U6" s="8"/>
      <c r="V6" s="8"/>
      <c r="W6" s="8"/>
      <c r="X6" s="8"/>
      <c r="Y6" s="8"/>
      <c r="Z6" s="8"/>
    </row>
    <row r="7" ht="15.0" customHeight="1">
      <c r="A7" s="503">
        <f>'LÍQUIDO FOLHA -1'!G9</f>
        <v>0</v>
      </c>
      <c r="B7" s="256"/>
      <c r="C7" s="260"/>
      <c r="D7" s="260"/>
      <c r="E7" s="255"/>
      <c r="F7" s="255"/>
      <c r="G7" s="255"/>
      <c r="H7" s="255"/>
      <c r="I7" s="255"/>
      <c r="J7" s="255"/>
      <c r="K7" s="256"/>
      <c r="L7" s="256"/>
      <c r="M7" s="256"/>
      <c r="N7" s="256"/>
      <c r="O7" s="511"/>
      <c r="P7" s="30"/>
      <c r="Q7" s="502"/>
      <c r="R7" s="267"/>
      <c r="S7" s="267"/>
      <c r="T7" s="301"/>
      <c r="U7" s="8"/>
      <c r="V7" s="8"/>
      <c r="W7" s="8"/>
      <c r="X7" s="8"/>
      <c r="Y7" s="8"/>
      <c r="Z7" s="8"/>
    </row>
    <row r="8" ht="15.0" customHeight="1">
      <c r="A8" s="34">
        <f>'LÍQUIDO FOLHA -1'!G8</f>
        <v>0</v>
      </c>
      <c r="B8" s="256"/>
      <c r="C8" s="512">
        <f>SUM(C2:C6)</f>
        <v>84487.63</v>
      </c>
      <c r="D8" s="513">
        <f>SUM(D2:D7)</f>
        <v>20769.55</v>
      </c>
      <c r="E8" s="514">
        <f t="shared" ref="E8:H8" si="2">SUM(E2:E6)</f>
        <v>70249.57</v>
      </c>
      <c r="F8" s="512">
        <f t="shared" si="2"/>
        <v>217794.06</v>
      </c>
      <c r="G8" s="514">
        <f t="shared" si="2"/>
        <v>50562.69</v>
      </c>
      <c r="H8" s="515">
        <f t="shared" si="2"/>
        <v>131.57</v>
      </c>
      <c r="I8" s="255"/>
      <c r="J8" s="255"/>
      <c r="K8" s="516">
        <f t="shared" ref="K8:L8" si="3">SUM(K2:K6)</f>
        <v>27883.07</v>
      </c>
      <c r="L8" s="516">
        <f t="shared" si="3"/>
        <v>43386.81</v>
      </c>
      <c r="M8" s="516">
        <f t="shared" ref="M8:N8" si="4">SUM(M2:M7)</f>
        <v>30402.26</v>
      </c>
      <c r="N8" s="516">
        <f t="shared" si="4"/>
        <v>3500</v>
      </c>
      <c r="O8" s="255"/>
      <c r="P8" s="30"/>
      <c r="Q8" s="502"/>
      <c r="R8" s="267"/>
      <c r="S8" s="267"/>
      <c r="T8" s="285"/>
      <c r="U8" s="8"/>
      <c r="V8" s="8"/>
      <c r="W8" s="8"/>
      <c r="X8" s="8"/>
      <c r="Y8" s="8"/>
      <c r="Z8" s="8"/>
    </row>
    <row r="9" ht="15.0" customHeight="1">
      <c r="A9" s="517">
        <f>SUM(A2:A8)</f>
        <v>90057.74</v>
      </c>
      <c r="B9" s="256"/>
      <c r="C9" s="255"/>
      <c r="D9" s="255"/>
      <c r="E9" s="255"/>
      <c r="F9" s="8"/>
      <c r="G9" s="8"/>
      <c r="H9" s="255"/>
      <c r="I9" s="255"/>
      <c r="J9" s="255"/>
      <c r="K9" s="255"/>
      <c r="L9" s="255"/>
      <c r="M9" s="255"/>
      <c r="N9" s="255"/>
      <c r="O9" s="255"/>
      <c r="P9" s="30"/>
      <c r="Q9" s="502"/>
      <c r="R9" s="267"/>
      <c r="S9" s="267"/>
      <c r="T9" s="285"/>
      <c r="U9" s="8"/>
      <c r="V9" s="8"/>
      <c r="W9" s="8"/>
      <c r="X9" s="8"/>
      <c r="Y9" s="8"/>
      <c r="Z9" s="8"/>
    </row>
    <row r="10" ht="15.0" customHeight="1">
      <c r="A10" s="255"/>
      <c r="B10" s="505">
        <f>SUM(B2:B9)</f>
        <v>52085.18</v>
      </c>
      <c r="C10" s="255"/>
      <c r="D10" s="255"/>
      <c r="E10" s="260"/>
      <c r="F10" s="8"/>
      <c r="G10" s="47">
        <f>G8-G4</f>
        <v>50514.25</v>
      </c>
      <c r="H10" s="260"/>
      <c r="I10" s="255"/>
      <c r="J10" s="255"/>
      <c r="K10" s="260"/>
      <c r="L10" s="260"/>
      <c r="M10" s="260"/>
      <c r="N10" s="260"/>
      <c r="O10" s="255"/>
      <c r="P10" s="30"/>
      <c r="Q10" s="518"/>
      <c r="R10" s="267"/>
      <c r="S10" s="267"/>
      <c r="T10" s="285"/>
      <c r="U10" s="8"/>
      <c r="V10" s="8"/>
      <c r="W10" s="8"/>
      <c r="X10" s="8"/>
      <c r="Y10" s="8"/>
      <c r="Z10" s="8"/>
    </row>
    <row r="11" ht="15.0" customHeight="1">
      <c r="A11" s="255"/>
      <c r="B11" s="255"/>
      <c r="C11" s="255"/>
      <c r="D11" s="255"/>
      <c r="E11" s="255"/>
      <c r="F11" s="255"/>
      <c r="G11" s="255"/>
      <c r="H11" s="255"/>
      <c r="I11" s="255"/>
      <c r="J11" s="255"/>
      <c r="K11" s="519" t="s">
        <v>500</v>
      </c>
      <c r="L11" s="519">
        <f>K8+O6</f>
        <v>34140.83</v>
      </c>
      <c r="M11" s="255"/>
      <c r="N11" s="255"/>
      <c r="O11" s="255"/>
      <c r="P11" s="30"/>
      <c r="Q11" s="267"/>
      <c r="R11" s="267"/>
      <c r="S11" s="267"/>
      <c r="T11" s="285"/>
      <c r="U11" s="8"/>
      <c r="V11" s="8"/>
      <c r="W11" s="8"/>
      <c r="X11" s="8"/>
      <c r="Y11" s="8"/>
      <c r="Z11" s="8"/>
    </row>
    <row r="12" ht="15.0" customHeight="1">
      <c r="A12" s="255">
        <f>A9-A5</f>
        <v>73367</v>
      </c>
      <c r="B12" s="255"/>
      <c r="C12" s="255"/>
      <c r="D12" s="255"/>
      <c r="E12" s="520">
        <f>E8+F8+G8+H8+I4</f>
        <v>338737.89</v>
      </c>
      <c r="F12" s="256"/>
      <c r="G12" s="256"/>
      <c r="H12" s="256"/>
      <c r="I12" s="255"/>
      <c r="J12" s="255"/>
      <c r="K12" s="519" t="s">
        <v>501</v>
      </c>
      <c r="L12" s="519">
        <f>L2+L3+M2+M3+M5+L4</f>
        <v>73789.07</v>
      </c>
      <c r="M12" s="255"/>
      <c r="N12" s="255"/>
      <c r="O12" s="255"/>
      <c r="P12" s="30"/>
      <c r="Q12" s="30"/>
      <c r="R12" s="30"/>
      <c r="S12" s="30"/>
      <c r="T12" s="8"/>
      <c r="U12" s="8"/>
      <c r="V12" s="8"/>
      <c r="W12" s="8"/>
      <c r="X12" s="8"/>
      <c r="Y12" s="8"/>
      <c r="Z12" s="8"/>
    </row>
    <row r="13" ht="15.0" customHeight="1">
      <c r="A13" s="521">
        <f>A12-225</f>
        <v>73142</v>
      </c>
      <c r="B13" s="521" t="s">
        <v>502</v>
      </c>
      <c r="C13" s="255"/>
      <c r="D13" s="255"/>
      <c r="E13" s="255"/>
      <c r="F13" s="255"/>
      <c r="G13" s="255"/>
      <c r="H13" s="255"/>
      <c r="I13" s="255"/>
      <c r="J13" s="255"/>
      <c r="K13" s="255"/>
      <c r="L13" s="255"/>
      <c r="M13" s="255"/>
      <c r="N13" s="255"/>
      <c r="O13" s="255"/>
      <c r="P13" s="30"/>
      <c r="Q13" s="30"/>
      <c r="R13" s="30"/>
      <c r="S13" s="30"/>
      <c r="T13" s="8"/>
      <c r="U13" s="8"/>
      <c r="V13" s="8"/>
      <c r="W13" s="8"/>
      <c r="X13" s="8"/>
      <c r="Y13" s="8"/>
      <c r="Z13" s="8"/>
    </row>
    <row r="14" ht="15.0" customHeight="1">
      <c r="A14" s="255"/>
      <c r="B14" s="255"/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N14" s="255"/>
      <c r="O14" s="255"/>
      <c r="P14" s="30"/>
      <c r="Q14" s="30"/>
      <c r="R14" s="30"/>
      <c r="S14" s="30"/>
      <c r="T14" s="8"/>
      <c r="U14" s="8"/>
      <c r="V14" s="8"/>
      <c r="W14" s="8"/>
      <c r="X14" s="8"/>
      <c r="Y14" s="8"/>
      <c r="Z14" s="8"/>
    </row>
    <row r="15" ht="15.0" customHeight="1">
      <c r="A15" s="255"/>
      <c r="B15" s="255"/>
      <c r="C15" s="255"/>
      <c r="D15" s="255"/>
      <c r="E15" s="255"/>
      <c r="F15" s="255"/>
      <c r="G15" s="255"/>
      <c r="H15" s="255"/>
      <c r="I15" s="255"/>
      <c r="J15" s="255"/>
      <c r="K15" s="522"/>
      <c r="L15" s="522"/>
      <c r="M15" s="522"/>
      <c r="N15" s="522"/>
      <c r="O15" s="260"/>
      <c r="P15" s="30"/>
      <c r="Q15" s="30"/>
      <c r="R15" s="30"/>
      <c r="S15" s="30"/>
      <c r="T15" s="8"/>
      <c r="U15" s="8"/>
      <c r="V15" s="8"/>
      <c r="W15" s="8"/>
      <c r="X15" s="8"/>
      <c r="Y15" s="8"/>
      <c r="Z15" s="8"/>
    </row>
    <row r="16" ht="15.0" customHeight="1">
      <c r="A16" s="255"/>
      <c r="B16" s="255"/>
      <c r="C16" s="255"/>
      <c r="D16" s="255"/>
      <c r="E16" s="255"/>
      <c r="F16" s="255"/>
      <c r="G16" s="255"/>
      <c r="H16" s="255"/>
      <c r="I16" s="255"/>
      <c r="J16" s="255"/>
      <c r="K16" s="255"/>
      <c r="L16" s="255"/>
      <c r="M16" s="255"/>
      <c r="N16" s="255"/>
      <c r="O16" s="523"/>
      <c r="P16" s="30">
        <f>4*180000</f>
        <v>720000</v>
      </c>
      <c r="Q16" s="147"/>
      <c r="R16" s="30"/>
      <c r="S16" s="30"/>
      <c r="T16" s="8"/>
      <c r="U16" s="8"/>
      <c r="V16" s="8"/>
      <c r="W16" s="8"/>
      <c r="X16" s="8"/>
      <c r="Y16" s="8"/>
      <c r="Z16" s="8"/>
    </row>
    <row r="17" ht="17.25" customHeight="1">
      <c r="A17" s="255"/>
      <c r="B17" s="255"/>
      <c r="C17" s="255"/>
      <c r="D17" s="255"/>
      <c r="E17" s="528" t="s">
        <v>507</v>
      </c>
      <c r="F17" s="528" t="s">
        <v>507</v>
      </c>
      <c r="G17" s="255"/>
      <c r="H17" s="255"/>
      <c r="I17" s="255"/>
      <c r="J17" s="255"/>
      <c r="K17" s="255"/>
      <c r="L17" s="255"/>
      <c r="M17" s="255"/>
      <c r="N17" s="255"/>
      <c r="O17" s="255"/>
      <c r="P17" s="30"/>
      <c r="Q17" s="30"/>
      <c r="R17" s="30"/>
      <c r="S17" s="30"/>
      <c r="T17" s="8"/>
      <c r="U17" s="8"/>
      <c r="V17" s="8"/>
      <c r="W17" s="8"/>
      <c r="X17" s="8"/>
      <c r="Y17" s="8"/>
      <c r="Z17" s="8"/>
    </row>
    <row r="18" ht="15.0" customHeight="1">
      <c r="A18" s="515">
        <f>'LÍQUIDO FOLHA -1'!F79</f>
        <v>694407.63</v>
      </c>
      <c r="B18" s="530">
        <f>A9+B10+C8+D8+E12+J4+K8+L8+M8+N8+O6+E24+F24</f>
        <v>704883.91</v>
      </c>
      <c r="C18" s="255">
        <f>C16-C17</f>
        <v>0</v>
      </c>
      <c r="D18" s="255"/>
      <c r="E18" s="531" t="s">
        <v>511</v>
      </c>
      <c r="F18" s="532" t="s">
        <v>512</v>
      </c>
      <c r="G18" s="255"/>
      <c r="H18" s="255"/>
      <c r="I18" s="255"/>
      <c r="J18" s="255"/>
      <c r="K18" s="255">
        <f>E12-I21-G4-H4</f>
        <v>338671.47</v>
      </c>
      <c r="L18" s="255"/>
      <c r="M18" s="255"/>
      <c r="N18" s="255"/>
      <c r="O18" s="255"/>
      <c r="P18" s="30"/>
      <c r="Q18" s="30"/>
      <c r="R18" s="30"/>
      <c r="S18" s="30"/>
      <c r="T18" s="8"/>
      <c r="U18" s="8"/>
      <c r="V18" s="8"/>
      <c r="W18" s="8"/>
      <c r="X18" s="8"/>
      <c r="Y18" s="8"/>
      <c r="Z18" s="8"/>
    </row>
    <row r="19" ht="15.0" customHeight="1">
      <c r="A19" s="501"/>
      <c r="B19" s="514">
        <f>A18-B18</f>
        <v>-10476.28</v>
      </c>
      <c r="C19" s="255"/>
      <c r="D19" s="255"/>
      <c r="E19" s="255">
        <f>'LÍQUIDO FOLHA -1'!G41</f>
        <v>0</v>
      </c>
      <c r="F19" s="255">
        <f>'CONSIGNAÇÕES FOLHA 1'!F153</f>
        <v>1076.57</v>
      </c>
      <c r="G19" s="255"/>
      <c r="H19" s="255"/>
      <c r="I19" s="255"/>
      <c r="J19" s="255"/>
      <c r="K19" s="255"/>
      <c r="L19" s="255">
        <f>L8+M8</f>
        <v>73789.07</v>
      </c>
      <c r="M19" s="255"/>
      <c r="N19" s="255">
        <f>K8+O6</f>
        <v>34140.83</v>
      </c>
      <c r="O19" s="255"/>
      <c r="P19" s="30"/>
      <c r="Q19" s="30"/>
      <c r="R19" s="30"/>
      <c r="S19" s="30"/>
      <c r="T19" s="8"/>
      <c r="U19" s="8"/>
      <c r="V19" s="8"/>
      <c r="W19" s="8"/>
      <c r="X19" s="8"/>
      <c r="Y19" s="8"/>
      <c r="Z19" s="8"/>
    </row>
    <row r="20" ht="15.0" customHeight="1">
      <c r="A20" s="255"/>
      <c r="B20" s="255"/>
      <c r="C20" s="255"/>
      <c r="D20" s="255"/>
      <c r="E20" s="255">
        <f>'LÍQUIDO FOLHA -1'!H26</f>
        <v>5448.82</v>
      </c>
      <c r="F20" s="255">
        <f>'CONSIGNAÇÕES FOLHA 1'!F161</f>
        <v>147.11</v>
      </c>
      <c r="G20" s="255"/>
      <c r="H20" s="533" t="s">
        <v>516</v>
      </c>
      <c r="I20" s="255"/>
      <c r="J20" s="255"/>
      <c r="K20" s="255"/>
      <c r="L20" s="255">
        <f>L19+N8+J4</f>
        <v>77289.07</v>
      </c>
      <c r="M20" s="255"/>
      <c r="N20" s="255"/>
      <c r="O20" s="523"/>
      <c r="P20" s="30"/>
      <c r="Q20" s="30"/>
      <c r="R20" s="30"/>
      <c r="S20" s="30"/>
      <c r="T20" s="8"/>
      <c r="U20" s="8"/>
      <c r="V20" s="8"/>
      <c r="W20" s="8"/>
      <c r="X20" s="8"/>
      <c r="Y20" s="8"/>
      <c r="Z20" s="8"/>
    </row>
    <row r="21" ht="15.0" customHeight="1">
      <c r="A21" s="30"/>
      <c r="B21" s="30"/>
      <c r="C21" s="30"/>
      <c r="D21" s="30"/>
      <c r="E21" s="30">
        <f>'CONSIGNAÇÕES FOLHA 1'!F140</f>
        <v>0</v>
      </c>
      <c r="F21" s="30"/>
      <c r="G21" s="30"/>
      <c r="H21" s="534" t="s">
        <v>333</v>
      </c>
      <c r="I21" s="255"/>
      <c r="J21" s="255"/>
      <c r="K21" s="255"/>
      <c r="L21" s="30"/>
      <c r="M21" s="30"/>
      <c r="N21" s="30"/>
      <c r="O21" s="30"/>
      <c r="P21" s="30"/>
      <c r="Q21" s="30"/>
      <c r="R21" s="30"/>
      <c r="S21" s="30"/>
      <c r="T21" s="8"/>
      <c r="U21" s="8"/>
      <c r="V21" s="8"/>
      <c r="W21" s="8"/>
      <c r="X21" s="8"/>
      <c r="Y21" s="8"/>
      <c r="Z21" s="8"/>
    </row>
    <row r="22" ht="15.0" customHeight="1">
      <c r="A22" s="30"/>
      <c r="B22" s="30"/>
      <c r="C22" s="30"/>
      <c r="D22" s="30"/>
      <c r="E22" s="535">
        <f>'LÍQUIDO FOLHA -1'!H55</f>
        <v>561.11</v>
      </c>
      <c r="F22" s="30">
        <f>'CONSIGNAÇÕES FOLHA 1'!F208</f>
        <v>82.41</v>
      </c>
      <c r="G22" s="30"/>
      <c r="H22" s="30"/>
      <c r="I22" s="537"/>
      <c r="J22" s="537"/>
      <c r="K22" s="539"/>
      <c r="L22" s="539"/>
      <c r="M22" s="539"/>
      <c r="N22" s="539"/>
      <c r="O22" s="539"/>
      <c r="P22" s="30"/>
      <c r="Q22" s="30"/>
      <c r="R22" s="30"/>
      <c r="S22" s="30"/>
      <c r="T22" s="8"/>
      <c r="U22" s="8"/>
      <c r="V22" s="8"/>
      <c r="W22" s="8"/>
      <c r="X22" s="8"/>
      <c r="Y22" s="8"/>
      <c r="Z22" s="8"/>
    </row>
    <row r="23" ht="15.0" customHeight="1">
      <c r="A23" s="30"/>
      <c r="B23" s="30"/>
      <c r="C23" s="30"/>
      <c r="D23" s="30"/>
      <c r="E23" s="542">
        <v>0.0</v>
      </c>
      <c r="F23" s="543">
        <v>0.0</v>
      </c>
      <c r="G23" s="30"/>
      <c r="H23" s="30"/>
      <c r="I23" s="255"/>
      <c r="J23" s="255"/>
      <c r="K23" s="30"/>
      <c r="L23" s="43"/>
      <c r="M23" s="43"/>
      <c r="N23" s="43"/>
      <c r="O23" s="30"/>
      <c r="P23" s="30"/>
      <c r="Q23" s="30"/>
      <c r="R23" s="30"/>
      <c r="S23" s="30"/>
      <c r="T23" s="8"/>
      <c r="U23" s="8"/>
      <c r="V23" s="8"/>
      <c r="W23" s="8"/>
      <c r="X23" s="8"/>
      <c r="Y23" s="8"/>
      <c r="Z23" s="8"/>
    </row>
    <row r="24" ht="15.0" customHeight="1">
      <c r="A24" s="30"/>
      <c r="B24" s="30"/>
      <c r="C24" s="30"/>
      <c r="D24" s="30"/>
      <c r="E24" s="306">
        <f>E19+E20+E21+E22</f>
        <v>6009.93</v>
      </c>
      <c r="F24" s="308">
        <f>SUM(F19:F23)</f>
        <v>1306.09</v>
      </c>
      <c r="G24" s="30"/>
      <c r="H24" s="30"/>
      <c r="I24" s="255"/>
      <c r="J24" s="255"/>
      <c r="K24" s="30">
        <f>K2+K3</f>
        <v>23039.57</v>
      </c>
      <c r="L24" s="516" t="s">
        <v>523</v>
      </c>
      <c r="M24" s="516" t="s">
        <v>525</v>
      </c>
      <c r="N24" s="30"/>
      <c r="O24" s="30"/>
      <c r="P24" s="30"/>
      <c r="Q24" s="30"/>
      <c r="R24" s="30"/>
      <c r="S24" s="30"/>
      <c r="T24" s="8"/>
      <c r="U24" s="8"/>
      <c r="V24" s="8"/>
      <c r="W24" s="8"/>
      <c r="X24" s="8"/>
      <c r="Y24" s="8"/>
      <c r="Z24" s="8"/>
    </row>
    <row r="25" ht="15.0" customHeight="1">
      <c r="A25" s="147"/>
      <c r="B25" s="30"/>
      <c r="C25" s="30"/>
      <c r="D25" s="30"/>
      <c r="E25" s="30"/>
      <c r="F25" s="30"/>
      <c r="G25" s="30"/>
      <c r="H25" s="30"/>
      <c r="I25" s="255"/>
      <c r="J25" s="255"/>
      <c r="K25" s="30"/>
      <c r="L25" s="516">
        <f>E8-624.12-85.86</f>
        <v>69539.59</v>
      </c>
      <c r="M25" s="516">
        <f>F3+F4</f>
        <v>189620.5</v>
      </c>
      <c r="N25" s="30"/>
      <c r="O25" s="30"/>
      <c r="P25" s="30"/>
      <c r="Q25" s="30"/>
      <c r="R25" s="30"/>
      <c r="S25" s="30"/>
      <c r="T25" s="8"/>
      <c r="U25" s="8"/>
      <c r="V25" s="8"/>
      <c r="W25" s="8"/>
      <c r="X25" s="8"/>
      <c r="Y25" s="8"/>
      <c r="Z25" s="8"/>
    </row>
    <row r="26" ht="14.2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8"/>
      <c r="U26" s="8"/>
      <c r="V26" s="8"/>
      <c r="W26" s="8"/>
      <c r="X26" s="8"/>
      <c r="Y26" s="8"/>
      <c r="Z26" s="8"/>
    </row>
    <row r="27" ht="14.2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8"/>
      <c r="U27" s="8"/>
      <c r="V27" s="8"/>
      <c r="W27" s="8"/>
      <c r="X27" s="8"/>
      <c r="Y27" s="8"/>
      <c r="Z27" s="8"/>
    </row>
    <row r="28" ht="14.25" customHeight="1">
      <c r="A28" s="8"/>
      <c r="B28" s="8"/>
      <c r="C28" s="8"/>
      <c r="D28" s="8"/>
      <c r="E28" s="30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A29" s="8"/>
      <c r="B29" s="8"/>
      <c r="C29" s="8"/>
      <c r="D29" s="8"/>
      <c r="E29" s="30"/>
      <c r="F29" s="8"/>
      <c r="G29" s="3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8"/>
      <c r="B30" s="8"/>
      <c r="C30" s="8"/>
      <c r="D30" s="8"/>
      <c r="E30" s="30"/>
      <c r="F30" s="8"/>
      <c r="G30" s="8"/>
      <c r="H30" s="8"/>
      <c r="I30" s="8"/>
      <c r="J30" s="8"/>
      <c r="K30" s="8"/>
      <c r="L30" s="47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4.25" customHeight="1">
      <c r="A31" s="8"/>
      <c r="B31" s="8"/>
      <c r="C31" s="8"/>
      <c r="D31" s="8"/>
      <c r="E31" s="30"/>
      <c r="F31" s="8"/>
      <c r="G31" s="8"/>
      <c r="H31" s="8"/>
      <c r="I31" s="8"/>
      <c r="J31" s="8"/>
      <c r="K31" s="8"/>
      <c r="L31" s="47"/>
      <c r="M31" s="8"/>
      <c r="N31" s="47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>
      <c r="A32" s="8"/>
      <c r="B32" s="8"/>
      <c r="C32" s="8"/>
      <c r="D32" s="47"/>
      <c r="E32" s="30"/>
      <c r="F32" s="8"/>
      <c r="G32" s="47"/>
      <c r="H32" s="47"/>
      <c r="I32" s="8"/>
      <c r="J32" s="125"/>
      <c r="K32" s="8"/>
      <c r="L32" s="47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8"/>
      <c r="B33" s="8"/>
      <c r="C33" s="8"/>
      <c r="D33" s="8"/>
      <c r="E33" s="30"/>
      <c r="F33" s="8"/>
      <c r="G33" s="8"/>
      <c r="H33" s="30"/>
      <c r="I33" s="8"/>
      <c r="J33" s="8"/>
      <c r="K33" s="8"/>
      <c r="L33" s="8"/>
      <c r="M33" s="8"/>
      <c r="N33" s="47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4.25" customHeight="1">
      <c r="A34" s="8"/>
      <c r="B34" s="8"/>
      <c r="C34" s="8"/>
      <c r="D34" s="8"/>
      <c r="E34" s="30"/>
      <c r="F34" s="8"/>
      <c r="G34" s="47"/>
      <c r="H34" s="47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4.25" customHeight="1">
      <c r="A35" s="8"/>
      <c r="B35" s="8"/>
      <c r="C35" s="8"/>
      <c r="D35" s="8"/>
      <c r="E35" s="30"/>
      <c r="F35" s="8"/>
      <c r="G35" s="8"/>
      <c r="H35" s="47"/>
      <c r="I35" s="8"/>
      <c r="J35" s="8"/>
      <c r="K35" s="47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8"/>
      <c r="B36" s="8"/>
      <c r="C36" s="8"/>
      <c r="D36" s="8"/>
      <c r="E36" s="8"/>
      <c r="F36" s="8"/>
      <c r="G36" s="8"/>
      <c r="H36" s="8"/>
      <c r="I36" s="8"/>
      <c r="J36" s="47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4.25" customHeight="1">
      <c r="A37" s="8"/>
      <c r="B37" s="8"/>
      <c r="C37" s="8"/>
      <c r="D37" s="8"/>
      <c r="E37" s="8"/>
      <c r="F37" s="30"/>
      <c r="G37" s="8"/>
      <c r="H37" s="47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4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4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A44" s="8"/>
      <c r="B44" s="8"/>
      <c r="C44" s="8"/>
      <c r="D44" s="8"/>
      <c r="E44" s="47">
        <f>C41+E21</f>
        <v>0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4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4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4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4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4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4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4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4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4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4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4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4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4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4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4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4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4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4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4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4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4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4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4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4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4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4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4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4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4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4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4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4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4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4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4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4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4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4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4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4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4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4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4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4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4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4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4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4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4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4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4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4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4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4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4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4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4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4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4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4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4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4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4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4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4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4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4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4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4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4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4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4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4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4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4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4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4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4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4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4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4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4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4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4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4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4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4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4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4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4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4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4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4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4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4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4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4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4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4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4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4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4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4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4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4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4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4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4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4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4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4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4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4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4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4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4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4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4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4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4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4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4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4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4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4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4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4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4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4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4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4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4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4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4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4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4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4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4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4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4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4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4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4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4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4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4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4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4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4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4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4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4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4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4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4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4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4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4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4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4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4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4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4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4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4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4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4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4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4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4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4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4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4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4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4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4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4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4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4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4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4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4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4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4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4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4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4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4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4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4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4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4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4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4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4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4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4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4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4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4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4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4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4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4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4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4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4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4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4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4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4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4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4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4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4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4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4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4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4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4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4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4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4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4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4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4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4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4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4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4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4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4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4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4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4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4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4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4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4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4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4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4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4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4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4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4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4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4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4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4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4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4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4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4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4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4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4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4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4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4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4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4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4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4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4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4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4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4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4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4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4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4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4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4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4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4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4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4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4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4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4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4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4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4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4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4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4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4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4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4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4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4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4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4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4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4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4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4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4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4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4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4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4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4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4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4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4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4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4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4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4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4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4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4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4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4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4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4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4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4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4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4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4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4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4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4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4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4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4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4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4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4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4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4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4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4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4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4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4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4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4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4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4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4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4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4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4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4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4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4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4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4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4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4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4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4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4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4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4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4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4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4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4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4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4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4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4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4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4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4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4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4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4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4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4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4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4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4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4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4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4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4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4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4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4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4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4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4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4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4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4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4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4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4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4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4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4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4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4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4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4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4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4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4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4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4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4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4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4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4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4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4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4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4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4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4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4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4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4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4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4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4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4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4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4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4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4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4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4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4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4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4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4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4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4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4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4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4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4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4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4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4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4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4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4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4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4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4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4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4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4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4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4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4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4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4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4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4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4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4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4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4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4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4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4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4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4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4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4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4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4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4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4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4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4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4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4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4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4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4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4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4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4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4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4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4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4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4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4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4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4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4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4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4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4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4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4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4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4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4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4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4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4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4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4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4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4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4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4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4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4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4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4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4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4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4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4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4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4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4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4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4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4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4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4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4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4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4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4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4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4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4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4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4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4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4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4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4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4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4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4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4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4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4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4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4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4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4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4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4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4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4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4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4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4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4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4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4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4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4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4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4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4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4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4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4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4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4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4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4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4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4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4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4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4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4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4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4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4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4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4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4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4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4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4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4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4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4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4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4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4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4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4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4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4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4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4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4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4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4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4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4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4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4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4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4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4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4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4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4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4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4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874015748031497" footer="0.0" header="0.0" left="0.5118110236220472" right="0.5118110236220472" top="0.7874015748031497"/>
  <pageSetup paperSize="9" scale="5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95548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43"/>
    <col customWidth="1" min="2" max="3" width="11.43"/>
    <col customWidth="1" min="4" max="4" width="15.14"/>
    <col customWidth="1" min="5" max="6" width="11.43"/>
    <col customWidth="1" min="7" max="7" width="14.29"/>
    <col customWidth="1" min="8" max="8" width="11.43"/>
    <col customWidth="1" min="9" max="9" width="9.43"/>
    <col customWidth="1" min="10" max="10" width="10.43"/>
    <col customWidth="1" min="11" max="11" width="8.71"/>
    <col customWidth="1" min="12" max="12" width="10.43"/>
    <col customWidth="1" min="13" max="13" width="19.0"/>
    <col customWidth="1" min="14" max="14" width="17.14"/>
    <col customWidth="1" min="15" max="26" width="8.71"/>
  </cols>
  <sheetData>
    <row r="1" ht="14.25" customHeight="1">
      <c r="A1" s="17" t="s">
        <v>503</v>
      </c>
      <c r="B1" s="17" t="s">
        <v>449</v>
      </c>
      <c r="C1" s="17" t="s">
        <v>406</v>
      </c>
      <c r="D1" s="17" t="s">
        <v>504</v>
      </c>
      <c r="E1" s="17" t="s">
        <v>505</v>
      </c>
      <c r="F1" s="17"/>
      <c r="G1" s="17"/>
      <c r="H1" s="17"/>
      <c r="I1" s="17"/>
      <c r="J1" s="17"/>
      <c r="K1" s="17"/>
      <c r="L1" s="17"/>
      <c r="M1" s="17"/>
      <c r="N1" s="17"/>
    </row>
    <row r="2" ht="14.25" customHeight="1">
      <c r="A2" s="524" t="s">
        <v>506</v>
      </c>
      <c r="B2" s="525"/>
      <c r="C2" s="525"/>
      <c r="D2" s="526">
        <f>'CONSIGNAÇÕES FOLHA 1'!F50</f>
        <v>0</v>
      </c>
      <c r="E2" s="527">
        <v>0.0</v>
      </c>
      <c r="F2" s="267">
        <f t="shared" ref="F2:F37" si="1">D2-E2</f>
        <v>0</v>
      </c>
      <c r="G2" s="267"/>
      <c r="H2" s="8"/>
      <c r="I2" s="8"/>
      <c r="J2" s="8"/>
      <c r="K2" s="8"/>
      <c r="L2" s="8"/>
      <c r="M2" s="8"/>
      <c r="N2" s="8"/>
    </row>
    <row r="3" ht="14.25" customHeight="1">
      <c r="A3" s="524" t="s">
        <v>508</v>
      </c>
      <c r="B3" s="525"/>
      <c r="C3" s="525"/>
      <c r="D3" s="526">
        <f>'CONSIGNAÇÕES FOLHA 1'!F77</f>
        <v>0</v>
      </c>
      <c r="E3" s="527">
        <v>0.35</v>
      </c>
      <c r="F3" s="267">
        <f t="shared" si="1"/>
        <v>-0.35</v>
      </c>
      <c r="G3" s="267"/>
      <c r="H3" s="8"/>
      <c r="I3" s="8"/>
      <c r="J3" s="8"/>
      <c r="K3" s="8"/>
      <c r="L3" s="8"/>
      <c r="M3" s="8"/>
      <c r="N3" s="8"/>
    </row>
    <row r="4" ht="14.25" customHeight="1">
      <c r="A4" s="318" t="s">
        <v>509</v>
      </c>
      <c r="B4" s="525"/>
      <c r="C4" s="525"/>
      <c r="D4" s="526">
        <f>'CONSIGNAÇÕES FOLHA 1'!F55</f>
        <v>0</v>
      </c>
      <c r="E4" s="529">
        <v>0.34</v>
      </c>
      <c r="F4" s="267">
        <f t="shared" si="1"/>
        <v>-0.34</v>
      </c>
      <c r="G4" s="267"/>
      <c r="H4" s="8"/>
      <c r="I4" s="8"/>
      <c r="J4" s="8"/>
      <c r="K4" s="8"/>
      <c r="L4" s="8"/>
      <c r="M4" s="8"/>
      <c r="N4" s="8"/>
    </row>
    <row r="5" ht="14.25" customHeight="1">
      <c r="A5" s="318" t="s">
        <v>510</v>
      </c>
      <c r="B5" s="525"/>
      <c r="C5" s="525"/>
      <c r="D5" s="526">
        <f>'CONSIGNAÇÕES FOLHA 1'!F31</f>
        <v>345.22</v>
      </c>
      <c r="E5" s="529">
        <v>3.74</v>
      </c>
      <c r="F5" s="267">
        <f t="shared" si="1"/>
        <v>341.48</v>
      </c>
      <c r="G5" s="267"/>
      <c r="H5" s="8"/>
      <c r="I5" s="8"/>
      <c r="J5" s="8"/>
      <c r="K5" s="8"/>
      <c r="L5" s="8"/>
      <c r="M5" s="8"/>
      <c r="N5" s="8"/>
    </row>
    <row r="6" ht="14.25" customHeight="1">
      <c r="A6" s="318" t="s">
        <v>513</v>
      </c>
      <c r="B6" s="525"/>
      <c r="C6" s="525"/>
      <c r="D6" s="526">
        <f>'CONSIGNAÇÕES FOLHA 1'!F75</f>
        <v>0</v>
      </c>
      <c r="E6" s="529">
        <v>1.45</v>
      </c>
      <c r="F6" s="267">
        <f t="shared" si="1"/>
        <v>-1.45</v>
      </c>
      <c r="G6" s="267"/>
      <c r="H6" s="8"/>
      <c r="I6" s="8"/>
      <c r="J6" s="8"/>
      <c r="K6" s="8"/>
      <c r="L6" s="8"/>
      <c r="M6" s="47"/>
      <c r="N6" s="8"/>
    </row>
    <row r="7" ht="14.25" customHeight="1">
      <c r="A7" s="218" t="s">
        <v>398</v>
      </c>
      <c r="B7" s="525"/>
      <c r="C7" s="525"/>
      <c r="D7" s="267">
        <f>'CONSIGNAÇÕES FOLHA 1'!F94</f>
        <v>0</v>
      </c>
      <c r="E7" s="529">
        <v>2.55</v>
      </c>
      <c r="F7" s="267">
        <f t="shared" si="1"/>
        <v>-2.55</v>
      </c>
      <c r="G7" s="267">
        <f>F7+F8</f>
        <v>-2.55</v>
      </c>
      <c r="H7" s="47">
        <f>E7+E8</f>
        <v>2.55</v>
      </c>
      <c r="I7" s="8"/>
      <c r="J7" s="8"/>
      <c r="K7" s="8"/>
      <c r="L7" s="8"/>
      <c r="M7" s="47"/>
      <c r="N7" s="8"/>
    </row>
    <row r="8" ht="14.25" customHeight="1">
      <c r="A8" s="525" t="s">
        <v>514</v>
      </c>
      <c r="B8" s="525"/>
      <c r="C8" s="525"/>
      <c r="D8" s="267">
        <f>'CONSIGNAÇÕES FOLHA 1'!F64</f>
        <v>0</v>
      </c>
      <c r="E8" s="529">
        <v>0.0</v>
      </c>
      <c r="F8" s="267">
        <f t="shared" si="1"/>
        <v>0</v>
      </c>
      <c r="G8" s="267">
        <f>C6+C7+C8</f>
        <v>0</v>
      </c>
      <c r="H8" s="8"/>
      <c r="I8" s="8"/>
      <c r="J8" s="8"/>
      <c r="K8" s="8"/>
      <c r="L8" s="8"/>
      <c r="M8" s="47"/>
      <c r="N8" s="8"/>
    </row>
    <row r="9" ht="14.25" customHeight="1">
      <c r="A9" s="267" t="s">
        <v>515</v>
      </c>
      <c r="B9" s="267"/>
      <c r="C9" s="267"/>
      <c r="D9" s="526">
        <f>'CONSIGNAÇÕES FOLHA 1'!F41</f>
        <v>4979.09</v>
      </c>
      <c r="E9" s="527">
        <v>389.64</v>
      </c>
      <c r="F9" s="267">
        <f t="shared" si="1"/>
        <v>4589.45</v>
      </c>
      <c r="G9" s="267">
        <f>F9+F10</f>
        <v>9562.99</v>
      </c>
      <c r="H9" s="47">
        <f>E9+E10</f>
        <v>395.18</v>
      </c>
      <c r="I9" s="8"/>
      <c r="J9" s="8"/>
      <c r="K9" s="8"/>
      <c r="L9" s="8"/>
      <c r="M9" s="8"/>
      <c r="N9" s="8"/>
    </row>
    <row r="10" ht="14.25" customHeight="1">
      <c r="A10" s="267" t="s">
        <v>517</v>
      </c>
      <c r="B10" s="267"/>
      <c r="C10" s="267"/>
      <c r="D10" s="526">
        <f>'CONSIGNAÇÕES FOLHA 1'!F95</f>
        <v>4979.08</v>
      </c>
      <c r="E10" s="527">
        <v>5.54</v>
      </c>
      <c r="F10" s="267">
        <f t="shared" si="1"/>
        <v>4973.54</v>
      </c>
      <c r="G10" s="267"/>
      <c r="H10" s="8"/>
      <c r="I10" s="8"/>
      <c r="J10" s="8"/>
      <c r="K10" s="8"/>
      <c r="L10" s="8"/>
      <c r="M10" s="8"/>
      <c r="N10" s="8"/>
    </row>
    <row r="11" ht="14.25" customHeight="1">
      <c r="A11" s="267" t="s">
        <v>518</v>
      </c>
      <c r="B11" s="267"/>
      <c r="C11" s="267"/>
      <c r="D11" s="526">
        <f>'CONSIGNAÇÕES FOLHA 1'!F45</f>
        <v>0</v>
      </c>
      <c r="E11" s="527">
        <v>27.74</v>
      </c>
      <c r="F11" s="267">
        <f t="shared" si="1"/>
        <v>-27.74</v>
      </c>
      <c r="G11" s="267"/>
      <c r="H11" s="8"/>
      <c r="I11" s="8"/>
      <c r="J11" s="8"/>
      <c r="K11" s="8"/>
      <c r="L11" s="8"/>
      <c r="M11" s="47"/>
      <c r="N11" s="8"/>
    </row>
    <row r="12" ht="14.25" customHeight="1">
      <c r="A12" s="267" t="s">
        <v>519</v>
      </c>
      <c r="B12" s="267"/>
      <c r="C12" s="267"/>
      <c r="D12" s="526">
        <f>'CONSIGNAÇÕES FOLHA 1'!F96</f>
        <v>0</v>
      </c>
      <c r="E12" s="527">
        <v>12.16</v>
      </c>
      <c r="F12" s="267">
        <f t="shared" si="1"/>
        <v>-12.16</v>
      </c>
      <c r="G12" s="267"/>
      <c r="H12" s="8"/>
      <c r="I12" s="8"/>
      <c r="J12" s="8"/>
      <c r="K12" s="8"/>
      <c r="L12" s="8"/>
      <c r="M12" s="8"/>
      <c r="N12" s="8"/>
    </row>
    <row r="13" ht="14.25" customHeight="1">
      <c r="A13" s="536" t="s">
        <v>520</v>
      </c>
      <c r="B13" s="538"/>
      <c r="C13" s="538"/>
      <c r="D13" s="526">
        <f>'CONSIGNAÇÕES FOLHA 1'!F74</f>
        <v>0</v>
      </c>
      <c r="E13" s="540">
        <v>3.95</v>
      </c>
      <c r="F13" s="267">
        <f t="shared" si="1"/>
        <v>-3.95</v>
      </c>
      <c r="G13" s="538"/>
      <c r="H13" s="8"/>
      <c r="I13" s="8"/>
      <c r="J13" s="8"/>
      <c r="K13" s="8"/>
      <c r="L13" s="8"/>
      <c r="M13" s="47"/>
      <c r="N13" s="8"/>
    </row>
    <row r="14" ht="14.25" customHeight="1">
      <c r="A14" s="541" t="s">
        <v>521</v>
      </c>
      <c r="B14" s="538"/>
      <c r="C14" s="538"/>
      <c r="D14" s="526">
        <f>'CONSIGNAÇÕES FOLHA 1'!F52</f>
        <v>345.22</v>
      </c>
      <c r="E14" s="527">
        <v>6.17</v>
      </c>
      <c r="F14" s="267">
        <f t="shared" si="1"/>
        <v>339.05</v>
      </c>
      <c r="G14" s="267"/>
      <c r="H14" s="8"/>
      <c r="I14" s="8"/>
      <c r="J14" s="8"/>
      <c r="K14" s="8"/>
      <c r="L14" s="8"/>
      <c r="M14" s="8"/>
      <c r="N14" s="8"/>
    </row>
    <row r="15" ht="14.25" customHeight="1">
      <c r="A15" s="541" t="s">
        <v>274</v>
      </c>
      <c r="B15" s="538"/>
      <c r="C15" s="538"/>
      <c r="D15" s="526">
        <f>'CONSIGNAÇÕES FOLHA 1'!F59</f>
        <v>0</v>
      </c>
      <c r="E15" s="527">
        <v>0.0</v>
      </c>
      <c r="F15" s="267">
        <f t="shared" si="1"/>
        <v>0</v>
      </c>
      <c r="G15" s="267"/>
      <c r="H15" s="8"/>
      <c r="I15" s="8"/>
      <c r="J15" s="8"/>
      <c r="K15" s="8"/>
      <c r="L15" s="8"/>
      <c r="M15" s="8"/>
      <c r="N15" s="8"/>
    </row>
    <row r="16" ht="14.25" customHeight="1">
      <c r="A16" s="267" t="s">
        <v>522</v>
      </c>
      <c r="B16" s="267"/>
      <c r="C16" s="267"/>
      <c r="D16" s="526">
        <f>'CONSIGNAÇÕES FOLHA 1'!F44</f>
        <v>0</v>
      </c>
      <c r="E16" s="527">
        <v>1.9</v>
      </c>
      <c r="F16" s="267">
        <f t="shared" si="1"/>
        <v>-1.9</v>
      </c>
      <c r="G16" s="267"/>
      <c r="H16" s="8"/>
      <c r="I16" s="8"/>
      <c r="J16" s="47"/>
      <c r="K16" s="8"/>
      <c r="L16" s="8"/>
      <c r="M16" s="8"/>
      <c r="N16" s="8"/>
    </row>
    <row r="17" ht="14.25" customHeight="1">
      <c r="A17" s="267" t="s">
        <v>524</v>
      </c>
      <c r="B17" s="267"/>
      <c r="C17" s="267"/>
      <c r="D17" s="526">
        <f>'CONSIGNAÇÕES FOLHA 1'!F58</f>
        <v>253.61</v>
      </c>
      <c r="E17" s="527">
        <v>1.21</v>
      </c>
      <c r="F17" s="267">
        <f t="shared" si="1"/>
        <v>252.4</v>
      </c>
      <c r="G17" s="267"/>
      <c r="H17" s="8"/>
      <c r="I17" s="8"/>
      <c r="J17" s="47"/>
      <c r="K17" s="8"/>
      <c r="L17" s="8"/>
      <c r="M17" s="8"/>
      <c r="N17" s="8"/>
    </row>
    <row r="18" ht="14.25" customHeight="1">
      <c r="A18" s="267" t="s">
        <v>526</v>
      </c>
      <c r="B18" s="267"/>
      <c r="C18" s="267"/>
      <c r="D18" s="526">
        <f>'CONSIGNAÇÕES FOLHA 1'!F51</f>
        <v>0</v>
      </c>
      <c r="E18" s="527">
        <v>1.1</v>
      </c>
      <c r="F18" s="267">
        <f t="shared" si="1"/>
        <v>-1.1</v>
      </c>
      <c r="G18" s="267"/>
      <c r="H18" s="8"/>
      <c r="I18" s="8"/>
      <c r="J18" s="8"/>
      <c r="K18" s="8"/>
      <c r="L18" s="8"/>
      <c r="M18" s="8"/>
      <c r="N18" s="8"/>
    </row>
    <row r="19" ht="14.25" customHeight="1">
      <c r="A19" s="267" t="s">
        <v>266</v>
      </c>
      <c r="B19" s="267"/>
      <c r="C19" s="267"/>
      <c r="D19" s="526">
        <f>'CONSIGNAÇÕES FOLHA 1'!F57</f>
        <v>0</v>
      </c>
      <c r="E19" s="527">
        <v>1.33</v>
      </c>
      <c r="F19" s="267">
        <f t="shared" si="1"/>
        <v>-1.33</v>
      </c>
      <c r="G19" s="267"/>
      <c r="H19" s="8"/>
      <c r="I19" s="8"/>
      <c r="J19" s="8"/>
      <c r="K19" s="8"/>
      <c r="L19" s="8"/>
      <c r="M19" s="8"/>
      <c r="N19" s="8"/>
    </row>
    <row r="20" ht="14.25" customHeight="1">
      <c r="A20" s="267" t="s">
        <v>360</v>
      </c>
      <c r="B20" s="267"/>
      <c r="C20" s="267"/>
      <c r="D20" s="526">
        <f>'CONSIGNAÇÕES FOLHA 1'!F82</f>
        <v>0</v>
      </c>
      <c r="E20" s="527">
        <v>4.15</v>
      </c>
      <c r="F20" s="267">
        <f t="shared" si="1"/>
        <v>-4.15</v>
      </c>
      <c r="G20" s="267"/>
      <c r="H20" s="8"/>
      <c r="I20" s="8"/>
      <c r="J20" s="8"/>
      <c r="K20" s="8"/>
      <c r="L20" s="8"/>
      <c r="M20" s="8"/>
      <c r="N20" s="8"/>
    </row>
    <row r="21" ht="14.25" customHeight="1">
      <c r="A21" s="267" t="s">
        <v>527</v>
      </c>
      <c r="B21" s="267"/>
      <c r="C21" s="267"/>
      <c r="D21" s="526">
        <f>'CONSIGNAÇÕES FOLHA 1'!F79</f>
        <v>0</v>
      </c>
      <c r="E21" s="527">
        <v>0.0</v>
      </c>
      <c r="F21" s="267">
        <f t="shared" si="1"/>
        <v>0</v>
      </c>
      <c r="G21" s="267"/>
      <c r="H21" s="8"/>
      <c r="I21" s="8"/>
      <c r="J21" s="8"/>
      <c r="K21" s="8"/>
      <c r="L21" s="8"/>
      <c r="M21" s="8"/>
      <c r="N21" s="8"/>
    </row>
    <row r="22" ht="14.25" customHeight="1">
      <c r="A22" s="267" t="s">
        <v>528</v>
      </c>
      <c r="B22" s="267"/>
      <c r="C22" s="267"/>
      <c r="D22" s="526">
        <f>'CONSIGNAÇÕES FOLHA 1'!F56</f>
        <v>2104.28</v>
      </c>
      <c r="E22" s="527">
        <v>124.23</v>
      </c>
      <c r="F22" s="267">
        <f t="shared" si="1"/>
        <v>1980.05</v>
      </c>
      <c r="G22" s="267"/>
      <c r="H22" s="8"/>
      <c r="I22" s="8"/>
      <c r="J22" s="8"/>
      <c r="K22" s="8"/>
      <c r="L22" s="8"/>
      <c r="M22" s="47"/>
      <c r="N22" s="8"/>
    </row>
    <row r="23" ht="14.25" customHeight="1">
      <c r="A23" s="267" t="s">
        <v>529</v>
      </c>
      <c r="B23" s="267"/>
      <c r="C23" s="267"/>
      <c r="D23" s="526">
        <f>'CONSIGNAÇÕES FOLHA 1'!F85</f>
        <v>66.78</v>
      </c>
      <c r="E23" s="527">
        <v>0.87</v>
      </c>
      <c r="F23" s="267">
        <f t="shared" si="1"/>
        <v>65.91</v>
      </c>
      <c r="G23" s="267"/>
      <c r="H23" s="267"/>
      <c r="I23" s="267"/>
      <c r="J23" s="8"/>
      <c r="K23" s="8"/>
      <c r="L23" s="8"/>
      <c r="M23" s="8"/>
      <c r="N23" s="8"/>
    </row>
    <row r="24" ht="14.25" customHeight="1">
      <c r="A24" s="267" t="s">
        <v>530</v>
      </c>
      <c r="B24" s="267"/>
      <c r="C24" s="267"/>
      <c r="D24" s="526">
        <f>'CONSIGNAÇÕES FOLHA 1'!F53</f>
        <v>0</v>
      </c>
      <c r="E24" s="527">
        <v>11.36</v>
      </c>
      <c r="F24" s="267">
        <f t="shared" si="1"/>
        <v>-11.36</v>
      </c>
      <c r="G24" s="267"/>
      <c r="H24" s="267"/>
      <c r="I24" s="267"/>
      <c r="J24" s="8"/>
      <c r="K24" s="8"/>
      <c r="L24" s="8"/>
      <c r="M24" s="8"/>
      <c r="N24" s="8"/>
    </row>
    <row r="25" ht="14.25" customHeight="1">
      <c r="A25" s="267" t="s">
        <v>531</v>
      </c>
      <c r="B25" s="267"/>
      <c r="C25" s="267"/>
      <c r="D25" s="526">
        <f>'CONSIGNAÇÕES FOLHA 1'!F84</f>
        <v>0</v>
      </c>
      <c r="E25" s="527">
        <v>33.32</v>
      </c>
      <c r="F25" s="267">
        <f t="shared" si="1"/>
        <v>-33.32</v>
      </c>
      <c r="G25" s="267"/>
      <c r="H25" s="267"/>
      <c r="I25" s="267"/>
      <c r="J25" s="8"/>
      <c r="K25" s="8"/>
      <c r="L25" s="8"/>
      <c r="M25" s="8"/>
      <c r="N25" s="8"/>
    </row>
    <row r="26" ht="14.25" customHeight="1">
      <c r="A26" s="267" t="s">
        <v>532</v>
      </c>
      <c r="B26" s="267"/>
      <c r="C26" s="267"/>
      <c r="D26" s="526">
        <f>'CONSIGNAÇÕES FOLHA 1'!F80</f>
        <v>0</v>
      </c>
      <c r="E26" s="527">
        <v>1.11</v>
      </c>
      <c r="F26" s="267">
        <f t="shared" si="1"/>
        <v>-1.11</v>
      </c>
      <c r="G26" s="267"/>
      <c r="H26" s="267"/>
      <c r="I26" s="267"/>
      <c r="J26" s="8"/>
      <c r="K26" s="8"/>
      <c r="L26" s="8"/>
      <c r="M26" s="8"/>
      <c r="N26" s="8"/>
    </row>
    <row r="27" ht="14.25" customHeight="1">
      <c r="A27" s="267" t="s">
        <v>533</v>
      </c>
      <c r="B27" s="267"/>
      <c r="C27" s="267"/>
      <c r="D27" s="526">
        <f>'CONSIGNAÇÕES FOLHA 1'!F87</f>
        <v>3024.5</v>
      </c>
      <c r="E27" s="544">
        <v>0.0</v>
      </c>
      <c r="F27" s="267">
        <f t="shared" si="1"/>
        <v>3024.5</v>
      </c>
      <c r="G27" s="267"/>
      <c r="H27" s="267"/>
      <c r="I27" s="267"/>
      <c r="J27" s="8"/>
      <c r="K27" s="8"/>
      <c r="L27" s="8"/>
      <c r="M27" s="8"/>
      <c r="N27" s="8"/>
    </row>
    <row r="28" ht="14.25" customHeight="1">
      <c r="A28" s="267" t="s">
        <v>293</v>
      </c>
      <c r="B28" s="267"/>
      <c r="C28" s="267"/>
      <c r="D28" s="526">
        <f>'CONSIGNAÇÕES FOLHA 1'!F63</f>
        <v>1284.71</v>
      </c>
      <c r="E28" s="544">
        <v>24.31</v>
      </c>
      <c r="F28" s="267">
        <f t="shared" si="1"/>
        <v>1260.4</v>
      </c>
      <c r="G28" s="267"/>
      <c r="H28" s="267"/>
      <c r="I28" s="267"/>
      <c r="J28" s="8"/>
      <c r="K28" s="8"/>
      <c r="L28" s="8"/>
      <c r="M28" s="8"/>
      <c r="N28" s="8"/>
    </row>
    <row r="29" ht="14.25" customHeight="1">
      <c r="A29" s="267" t="s">
        <v>534</v>
      </c>
      <c r="B29" s="267"/>
      <c r="C29" s="267"/>
      <c r="D29" s="526">
        <f>'CONSIGNAÇÕES FOLHA 1'!F54</f>
        <v>0</v>
      </c>
      <c r="E29" s="527">
        <v>14.32</v>
      </c>
      <c r="F29" s="267">
        <f t="shared" si="1"/>
        <v>-14.32</v>
      </c>
      <c r="G29" s="267"/>
      <c r="H29" s="267"/>
      <c r="I29" s="267"/>
      <c r="J29" s="8"/>
      <c r="K29" s="8"/>
      <c r="L29" s="8"/>
      <c r="M29" s="8"/>
      <c r="N29" s="8"/>
    </row>
    <row r="30" ht="14.25" customHeight="1">
      <c r="A30" s="545" t="s">
        <v>535</v>
      </c>
      <c r="B30" s="545"/>
      <c r="C30" s="545"/>
      <c r="D30" s="526">
        <f>'CONSIGNAÇÕES FOLHA 1'!F65</f>
        <v>0</v>
      </c>
      <c r="E30" s="546">
        <v>22.08</v>
      </c>
      <c r="F30" s="267">
        <f t="shared" si="1"/>
        <v>-22.08</v>
      </c>
      <c r="G30" s="538">
        <f>F30+F31+F32</f>
        <v>-29.43</v>
      </c>
      <c r="H30" s="267">
        <f>E30+E31+E32</f>
        <v>69.43</v>
      </c>
      <c r="I30" s="267"/>
      <c r="J30" s="47"/>
      <c r="K30" s="8"/>
      <c r="L30" s="8"/>
      <c r="M30" s="47"/>
      <c r="N30" s="8"/>
    </row>
    <row r="31" ht="14.25" customHeight="1">
      <c r="A31" s="545" t="s">
        <v>535</v>
      </c>
      <c r="B31" s="545"/>
      <c r="C31" s="545"/>
      <c r="D31" s="526">
        <f>'CONSIGNAÇÕES FOLHA 1'!F66</f>
        <v>0</v>
      </c>
      <c r="E31" s="527">
        <v>44.6</v>
      </c>
      <c r="F31" s="267">
        <f t="shared" si="1"/>
        <v>-44.6</v>
      </c>
      <c r="G31" s="267"/>
      <c r="H31" s="267"/>
      <c r="I31" s="267"/>
      <c r="J31" s="47"/>
      <c r="K31" s="8"/>
      <c r="L31" s="8"/>
      <c r="M31" s="47"/>
      <c r="N31" s="8"/>
    </row>
    <row r="32" ht="14.25" customHeight="1">
      <c r="A32" s="545" t="s">
        <v>535</v>
      </c>
      <c r="B32" s="545"/>
      <c r="C32" s="545"/>
      <c r="D32" s="526">
        <f>'CONSIGNAÇÕES FOLHA 1'!F67</f>
        <v>40</v>
      </c>
      <c r="E32" s="527">
        <v>2.75</v>
      </c>
      <c r="F32" s="267">
        <f t="shared" si="1"/>
        <v>37.25</v>
      </c>
      <c r="G32" s="267">
        <f>C30+C31+C32</f>
        <v>0</v>
      </c>
      <c r="H32" s="267"/>
      <c r="I32" s="267"/>
      <c r="J32" s="8"/>
      <c r="K32" s="8"/>
      <c r="L32" s="8"/>
      <c r="M32" s="47"/>
      <c r="N32" s="47"/>
    </row>
    <row r="33" ht="14.25" customHeight="1">
      <c r="A33" s="267" t="s">
        <v>364</v>
      </c>
      <c r="B33" s="267"/>
      <c r="C33" s="267"/>
      <c r="D33" s="526">
        <f>'CONSIGNAÇÕES FOLHA 1'!F83</f>
        <v>0</v>
      </c>
      <c r="E33" s="527">
        <v>0.0</v>
      </c>
      <c r="F33" s="267">
        <f t="shared" si="1"/>
        <v>0</v>
      </c>
      <c r="G33" s="267"/>
      <c r="H33" s="267"/>
      <c r="I33" s="267"/>
      <c r="J33" s="8"/>
      <c r="K33" s="8"/>
      <c r="L33" s="8"/>
      <c r="M33" s="8"/>
      <c r="N33" s="8"/>
    </row>
    <row r="34" ht="14.25" customHeight="1">
      <c r="A34" s="547" t="s">
        <v>536</v>
      </c>
      <c r="B34" s="547"/>
      <c r="C34" s="547"/>
      <c r="D34" s="547">
        <f>'CONSIGNAÇÕES FOLHA 1'!F91</f>
        <v>0</v>
      </c>
      <c r="E34" s="548">
        <v>1.21</v>
      </c>
      <c r="F34" s="547">
        <f t="shared" si="1"/>
        <v>-1.21</v>
      </c>
      <c r="G34" s="267">
        <f>F34+F35+F36</f>
        <v>-1.21</v>
      </c>
      <c r="H34" s="267"/>
      <c r="I34" s="267"/>
      <c r="J34" s="47"/>
      <c r="K34" s="8"/>
      <c r="L34" s="8"/>
      <c r="M34" s="8"/>
      <c r="N34" s="8"/>
    </row>
    <row r="35" ht="14.25" customHeight="1">
      <c r="A35" s="547" t="s">
        <v>537</v>
      </c>
      <c r="B35" s="547"/>
      <c r="C35" s="547"/>
      <c r="D35" s="547">
        <f>'CONSIGNAÇÕES FOLHA 1'!F92</f>
        <v>0</v>
      </c>
      <c r="E35" s="548">
        <v>0.0</v>
      </c>
      <c r="F35" s="547">
        <f t="shared" si="1"/>
        <v>0</v>
      </c>
      <c r="G35" s="267"/>
      <c r="H35" s="267"/>
      <c r="I35" s="267"/>
      <c r="J35" s="47"/>
      <c r="K35" s="8"/>
      <c r="L35" s="47"/>
      <c r="M35" s="8"/>
      <c r="N35" s="8"/>
    </row>
    <row r="36" ht="14.25" customHeight="1">
      <c r="A36" s="547" t="s">
        <v>537</v>
      </c>
      <c r="B36" s="547"/>
      <c r="C36" s="547"/>
      <c r="D36" s="547">
        <f>'CONSIGNAÇÕES FOLHA 1'!F93</f>
        <v>0</v>
      </c>
      <c r="E36" s="548">
        <v>0.0</v>
      </c>
      <c r="F36" s="547">
        <f t="shared" si="1"/>
        <v>0</v>
      </c>
      <c r="G36" s="267"/>
      <c r="H36" s="267"/>
      <c r="I36" s="267"/>
      <c r="J36" s="8"/>
      <c r="K36" s="8"/>
      <c r="L36" s="8"/>
      <c r="M36" s="47"/>
      <c r="N36" s="8"/>
    </row>
    <row r="37" ht="14.25" customHeight="1">
      <c r="A37" s="267" t="s">
        <v>538</v>
      </c>
      <c r="B37" s="267"/>
      <c r="C37" s="267"/>
      <c r="D37" s="526">
        <f>'CONSIGNAÇÕES FOLHA 1'!F86</f>
        <v>3144.15</v>
      </c>
      <c r="E37" s="544">
        <v>194.53</v>
      </c>
      <c r="F37" s="267">
        <f t="shared" si="1"/>
        <v>2949.62</v>
      </c>
      <c r="G37" s="267">
        <f>F37+F27</f>
        <v>5974.12</v>
      </c>
      <c r="H37" s="267">
        <f>E27+E37</f>
        <v>194.53</v>
      </c>
      <c r="I37" s="267"/>
      <c r="J37" s="8"/>
      <c r="K37" s="8"/>
      <c r="L37" s="8"/>
      <c r="M37" s="8"/>
      <c r="N37" s="8"/>
    </row>
    <row r="38" ht="14.25" customHeight="1">
      <c r="A38" s="267"/>
      <c r="B38" s="267"/>
      <c r="C38" s="72">
        <f>SUM(C2:C37)</f>
        <v>0</v>
      </c>
      <c r="D38" s="72"/>
      <c r="E38" s="147">
        <f>SUM(E2:E37)</f>
        <v>938.01</v>
      </c>
      <c r="F38" s="147"/>
      <c r="G38" s="267"/>
      <c r="H38" s="267"/>
      <c r="I38" s="267"/>
      <c r="J38" s="8"/>
      <c r="K38" s="8"/>
      <c r="L38" s="8"/>
      <c r="M38" s="8"/>
      <c r="N38" s="8"/>
    </row>
    <row r="39" ht="14.25" customHeight="1">
      <c r="A39" s="267"/>
      <c r="B39" s="267"/>
      <c r="C39" s="267"/>
      <c r="D39" s="267"/>
      <c r="E39" s="267"/>
      <c r="F39" s="267"/>
      <c r="G39" s="267"/>
      <c r="H39" s="267"/>
      <c r="I39" s="267"/>
      <c r="J39" s="8"/>
      <c r="K39" s="8"/>
      <c r="L39" s="8"/>
      <c r="M39" s="8"/>
      <c r="N39" s="8"/>
    </row>
    <row r="40" ht="14.25" customHeight="1">
      <c r="A40" s="267"/>
      <c r="B40" s="267"/>
      <c r="C40" s="267"/>
      <c r="D40" s="267"/>
      <c r="E40" s="267"/>
      <c r="F40" s="267"/>
      <c r="G40" s="267"/>
      <c r="H40" s="267"/>
      <c r="I40" s="267"/>
      <c r="J40" s="8"/>
      <c r="K40" s="8"/>
      <c r="L40" s="8"/>
      <c r="M40" s="8"/>
      <c r="N40" s="8"/>
    </row>
    <row r="41" ht="14.25" customHeight="1">
      <c r="A41" s="30"/>
      <c r="B41" s="30"/>
      <c r="C41" s="30"/>
      <c r="D41" s="30"/>
      <c r="E41" s="30"/>
      <c r="F41" s="30"/>
      <c r="G41" s="30"/>
      <c r="H41" s="30"/>
      <c r="I41" s="30"/>
      <c r="J41" s="8"/>
      <c r="K41" s="8"/>
      <c r="L41" s="8"/>
      <c r="M41" s="8"/>
      <c r="N41" s="8"/>
    </row>
    <row r="42" ht="14.25" customHeight="1">
      <c r="A42" s="296" t="s">
        <v>182</v>
      </c>
      <c r="B42" s="296" t="s">
        <v>449</v>
      </c>
      <c r="C42" s="296" t="s">
        <v>406</v>
      </c>
      <c r="D42" s="296" t="s">
        <v>504</v>
      </c>
      <c r="E42" s="8"/>
      <c r="F42" s="8"/>
      <c r="G42" s="30"/>
      <c r="H42" s="30"/>
      <c r="I42" s="30"/>
      <c r="J42" s="8"/>
      <c r="K42" s="8"/>
      <c r="L42" s="8"/>
      <c r="M42" s="47"/>
      <c r="N42" s="8"/>
    </row>
    <row r="43" ht="14.25" customHeight="1">
      <c r="A43" s="538" t="s">
        <v>539</v>
      </c>
      <c r="B43" s="267">
        <f>'CONSIGNAÇÕES FOLHA 1'!G31</f>
        <v>49.86</v>
      </c>
      <c r="C43" s="527">
        <v>1.49</v>
      </c>
      <c r="D43" s="538">
        <f t="shared" ref="D43:D57" si="2">B43-C43</f>
        <v>48.37</v>
      </c>
      <c r="E43" s="267"/>
      <c r="F43" s="30"/>
      <c r="G43" s="30"/>
      <c r="H43" s="30"/>
      <c r="I43" s="30"/>
      <c r="J43" s="8"/>
      <c r="K43" s="8"/>
      <c r="L43" s="8"/>
      <c r="M43" s="8"/>
      <c r="N43" s="8"/>
    </row>
    <row r="44" ht="24.75" customHeight="1">
      <c r="A44" s="93" t="s">
        <v>356</v>
      </c>
      <c r="B44" s="527">
        <v>273.65</v>
      </c>
      <c r="C44" s="527">
        <v>4.1</v>
      </c>
      <c r="D44" s="538">
        <f t="shared" si="2"/>
        <v>269.55</v>
      </c>
      <c r="E44" s="267"/>
      <c r="F44" s="30"/>
      <c r="G44" s="30"/>
      <c r="H44" s="30"/>
      <c r="I44" s="30"/>
      <c r="J44" s="8"/>
      <c r="K44" s="8"/>
      <c r="L44" s="8"/>
      <c r="M44" s="8"/>
      <c r="N44" s="8"/>
    </row>
    <row r="45" ht="14.25" customHeight="1">
      <c r="A45" s="267" t="s">
        <v>540</v>
      </c>
      <c r="B45" s="267">
        <f>'CONSIGNAÇÕES FOLHA 1'!G52</f>
        <v>0</v>
      </c>
      <c r="C45" s="527">
        <v>0.44</v>
      </c>
      <c r="D45" s="538">
        <f t="shared" si="2"/>
        <v>-0.44</v>
      </c>
      <c r="E45" s="267"/>
      <c r="F45" s="30"/>
      <c r="G45" s="30"/>
      <c r="H45" s="30"/>
      <c r="I45" s="30"/>
      <c r="J45" s="8"/>
      <c r="K45" s="8"/>
      <c r="L45" s="8"/>
      <c r="M45" s="8"/>
      <c r="N45" s="47"/>
    </row>
    <row r="46" ht="14.25" customHeight="1">
      <c r="A46" s="267" t="s">
        <v>541</v>
      </c>
      <c r="B46" s="267">
        <f>'CONSIGNAÇÕES FOLHA 1'!G56</f>
        <v>0</v>
      </c>
      <c r="C46" s="527">
        <v>17.58</v>
      </c>
      <c r="D46" s="538">
        <f t="shared" si="2"/>
        <v>-17.58</v>
      </c>
      <c r="E46" s="267"/>
      <c r="F46" s="30"/>
      <c r="G46" s="30"/>
      <c r="H46" s="30"/>
      <c r="I46" s="30"/>
      <c r="J46" s="8"/>
      <c r="K46" s="8"/>
      <c r="L46" s="8"/>
      <c r="M46" s="47"/>
      <c r="N46" s="8"/>
    </row>
    <row r="47" ht="14.25" customHeight="1">
      <c r="A47" s="267" t="s">
        <v>542</v>
      </c>
      <c r="B47" s="267">
        <f>'CONSIGNAÇÕES FOLHA 1'!G62</f>
        <v>0</v>
      </c>
      <c r="C47" s="527">
        <v>36.84</v>
      </c>
      <c r="D47" s="538">
        <f t="shared" si="2"/>
        <v>-36.84</v>
      </c>
      <c r="E47" s="267"/>
      <c r="F47" s="30"/>
      <c r="G47" s="30"/>
      <c r="H47" s="30"/>
      <c r="I47" s="30"/>
      <c r="J47" s="8"/>
      <c r="K47" s="8"/>
      <c r="L47" s="8"/>
      <c r="M47" s="8"/>
      <c r="N47" s="8"/>
    </row>
    <row r="48" ht="14.25" customHeight="1">
      <c r="A48" s="267" t="s">
        <v>526</v>
      </c>
      <c r="B48" s="267">
        <f>'CONSIGNAÇÕES FOLHA 1'!G51</f>
        <v>0</v>
      </c>
      <c r="C48" s="527">
        <v>0.47</v>
      </c>
      <c r="D48" s="538">
        <f t="shared" si="2"/>
        <v>-0.47</v>
      </c>
      <c r="E48" s="267"/>
      <c r="F48" s="30"/>
      <c r="G48" s="30"/>
      <c r="H48" s="30"/>
      <c r="I48" s="30"/>
      <c r="J48" s="8"/>
      <c r="K48" s="8"/>
      <c r="L48" s="8"/>
      <c r="M48" s="8"/>
      <c r="N48" s="8"/>
    </row>
    <row r="49" ht="14.25" customHeight="1">
      <c r="A49" s="267" t="s">
        <v>543</v>
      </c>
      <c r="B49" s="267">
        <f>'CONSIGNAÇÕES FOLHA 1'!G80</f>
        <v>0</v>
      </c>
      <c r="C49" s="527">
        <v>13.03</v>
      </c>
      <c r="D49" s="538">
        <f t="shared" si="2"/>
        <v>-13.03</v>
      </c>
      <c r="E49" s="267"/>
      <c r="F49" s="30"/>
      <c r="G49" s="30"/>
      <c r="H49" s="30"/>
      <c r="I49" s="30"/>
      <c r="J49" s="8"/>
      <c r="K49" s="8"/>
      <c r="L49" s="8"/>
      <c r="M49" s="8"/>
      <c r="N49" s="8"/>
    </row>
    <row r="50" ht="14.25" customHeight="1">
      <c r="A50" s="267" t="s">
        <v>544</v>
      </c>
      <c r="B50" s="267">
        <f>'CONSIGNAÇÕES FOLHA 1'!G74</f>
        <v>0</v>
      </c>
      <c r="C50" s="527">
        <v>26.53</v>
      </c>
      <c r="D50" s="267">
        <f t="shared" si="2"/>
        <v>-26.53</v>
      </c>
      <c r="E50" s="267"/>
      <c r="F50" s="30"/>
      <c r="G50" s="30"/>
      <c r="H50" s="30"/>
      <c r="I50" s="30"/>
      <c r="J50" s="8"/>
      <c r="K50" s="8"/>
      <c r="L50" s="8"/>
      <c r="M50" s="8"/>
      <c r="N50" s="8"/>
    </row>
    <row r="51" ht="14.25" customHeight="1">
      <c r="A51" s="267" t="s">
        <v>545</v>
      </c>
      <c r="B51" s="267">
        <f>'CONSIGNAÇÕES FOLHA 1'!G41</f>
        <v>0</v>
      </c>
      <c r="C51" s="527">
        <v>113.32</v>
      </c>
      <c r="D51" s="267">
        <f t="shared" si="2"/>
        <v>-113.32</v>
      </c>
      <c r="E51" s="267"/>
      <c r="F51" s="30"/>
      <c r="G51" s="30"/>
      <c r="H51" s="30"/>
      <c r="I51" s="30"/>
      <c r="J51" s="8"/>
      <c r="K51" s="8"/>
      <c r="L51" s="8"/>
      <c r="M51" s="8"/>
      <c r="N51" s="8"/>
    </row>
    <row r="52" ht="14.25" customHeight="1">
      <c r="A52" s="267" t="s">
        <v>546</v>
      </c>
      <c r="B52" s="267">
        <f>'CONSIGNAÇÕES FOLHA 1'!G87</f>
        <v>2202.56</v>
      </c>
      <c r="C52" s="527">
        <v>0.0</v>
      </c>
      <c r="D52" s="267">
        <f t="shared" si="2"/>
        <v>2202.56</v>
      </c>
      <c r="E52" s="267"/>
      <c r="F52" s="30"/>
      <c r="G52" s="30"/>
      <c r="H52" s="30"/>
      <c r="I52" s="30"/>
      <c r="J52" s="8"/>
      <c r="K52" s="8"/>
      <c r="L52" s="8"/>
      <c r="M52" s="8"/>
      <c r="N52" s="8"/>
    </row>
    <row r="53" ht="14.25" customHeight="1">
      <c r="A53" s="267" t="s">
        <v>368</v>
      </c>
      <c r="B53" s="267">
        <f>'CONSIGNAÇÕES FOLHA 1'!G84</f>
        <v>0</v>
      </c>
      <c r="C53" s="527">
        <v>7.5</v>
      </c>
      <c r="D53" s="267">
        <f t="shared" si="2"/>
        <v>-7.5</v>
      </c>
      <c r="E53" s="267"/>
      <c r="F53" s="30"/>
      <c r="G53" s="30"/>
      <c r="H53" s="30"/>
      <c r="I53" s="30"/>
      <c r="J53" s="8"/>
      <c r="K53" s="8"/>
      <c r="L53" s="8"/>
      <c r="M53" s="8"/>
      <c r="N53" s="8"/>
    </row>
    <row r="54" ht="14.25" customHeight="1">
      <c r="A54" s="267" t="s">
        <v>547</v>
      </c>
      <c r="B54" s="267">
        <f>'CONSIGNAÇÕES FOLHA 1'!G77</f>
        <v>0</v>
      </c>
      <c r="C54" s="527">
        <v>3.75</v>
      </c>
      <c r="D54" s="267">
        <f t="shared" si="2"/>
        <v>-3.75</v>
      </c>
      <c r="E54" s="267"/>
      <c r="F54" s="30"/>
      <c r="G54" s="30"/>
      <c r="H54" s="30"/>
      <c r="I54" s="30"/>
      <c r="J54" s="8"/>
      <c r="K54" s="8"/>
      <c r="L54" s="8"/>
      <c r="M54" s="8"/>
      <c r="N54" s="8"/>
    </row>
    <row r="55" ht="14.25" customHeight="1">
      <c r="A55" s="267" t="s">
        <v>548</v>
      </c>
      <c r="B55" s="267">
        <f>'CONSIGNAÇÕES FOLHA 1'!G76</f>
        <v>0</v>
      </c>
      <c r="C55" s="527">
        <v>1.99</v>
      </c>
      <c r="D55" s="267">
        <f t="shared" si="2"/>
        <v>-1.99</v>
      </c>
      <c r="E55" s="267"/>
      <c r="F55" s="30"/>
      <c r="G55" s="30"/>
      <c r="H55" s="30"/>
      <c r="I55" s="30"/>
      <c r="J55" s="8"/>
      <c r="K55" s="8"/>
      <c r="L55" s="8"/>
      <c r="M55" s="8"/>
      <c r="N55" s="8"/>
    </row>
    <row r="56" ht="14.25" customHeight="1">
      <c r="A56" s="267" t="s">
        <v>549</v>
      </c>
      <c r="B56" s="267">
        <f>'CONSIGNAÇÕES FOLHA 1'!G45</f>
        <v>559</v>
      </c>
      <c r="C56" s="527">
        <v>62.07</v>
      </c>
      <c r="D56" s="267">
        <f t="shared" si="2"/>
        <v>496.93</v>
      </c>
      <c r="E56" s="267"/>
      <c r="F56" s="30"/>
      <c r="G56" s="30"/>
      <c r="H56" s="30"/>
      <c r="I56" s="30"/>
      <c r="J56" s="8"/>
      <c r="K56" s="8"/>
      <c r="L56" s="8"/>
      <c r="M56" s="8"/>
      <c r="N56" s="8"/>
    </row>
    <row r="57" ht="14.25" customHeight="1">
      <c r="A57" s="267" t="s">
        <v>550</v>
      </c>
      <c r="B57" s="267">
        <f>'CONSIGNAÇÕES FOLHA 1'!G81</f>
        <v>0</v>
      </c>
      <c r="C57" s="304">
        <v>0.0</v>
      </c>
      <c r="D57" s="267">
        <f t="shared" si="2"/>
        <v>0</v>
      </c>
      <c r="E57" s="267"/>
      <c r="F57" s="30"/>
      <c r="G57" s="30"/>
      <c r="H57" s="30"/>
      <c r="I57" s="30"/>
      <c r="J57" s="8"/>
      <c r="K57" s="8"/>
      <c r="L57" s="8"/>
      <c r="M57" s="8"/>
      <c r="N57" s="8"/>
    </row>
    <row r="58" ht="14.25" customHeight="1">
      <c r="A58" s="267"/>
      <c r="B58" s="267"/>
      <c r="C58" s="147">
        <f>SUM(C43:C57)</f>
        <v>289.11</v>
      </c>
      <c r="D58" s="267"/>
      <c r="E58" s="267"/>
      <c r="F58" s="30"/>
      <c r="G58" s="30"/>
      <c r="H58" s="30"/>
      <c r="I58" s="30"/>
      <c r="J58" s="8"/>
      <c r="K58" s="8"/>
      <c r="L58" s="8"/>
      <c r="M58" s="8"/>
      <c r="N58" s="8"/>
    </row>
    <row r="59" ht="14.25" customHeight="1">
      <c r="A59" s="267"/>
      <c r="B59" s="267"/>
      <c r="C59" s="267"/>
      <c r="D59" s="267"/>
      <c r="E59" s="267"/>
      <c r="F59" s="30"/>
      <c r="G59" s="30"/>
      <c r="H59" s="30"/>
      <c r="I59" s="30"/>
      <c r="J59" s="8"/>
      <c r="K59" s="8"/>
      <c r="L59" s="8"/>
      <c r="M59" s="8"/>
      <c r="N59" s="8"/>
    </row>
    <row r="60" ht="14.25" customHeight="1">
      <c r="A60" s="267" t="s">
        <v>539</v>
      </c>
      <c r="B60" s="267">
        <f>'CONSIGNAÇÕES FOLHA 1'!F114</f>
        <v>0</v>
      </c>
      <c r="C60" s="527">
        <v>2.17</v>
      </c>
      <c r="D60" s="538">
        <f t="shared" ref="D60:D67" si="3">B60-C60</f>
        <v>-2.17</v>
      </c>
      <c r="E60" s="267"/>
      <c r="F60" s="30"/>
      <c r="G60" s="30"/>
      <c r="H60" s="30"/>
      <c r="I60" s="30"/>
      <c r="J60" s="8"/>
      <c r="K60" s="8"/>
      <c r="L60" s="8"/>
      <c r="M60" s="8"/>
      <c r="N60" s="8"/>
    </row>
    <row r="61" ht="14.25" customHeight="1">
      <c r="A61" s="267" t="s">
        <v>526</v>
      </c>
      <c r="B61" s="267">
        <f>'CONSIGNAÇÕES FOLHA 1'!F115</f>
        <v>0</v>
      </c>
      <c r="C61" s="527">
        <v>0.34</v>
      </c>
      <c r="D61" s="538">
        <f t="shared" si="3"/>
        <v>-0.34</v>
      </c>
      <c r="E61" s="267"/>
      <c r="F61" s="30"/>
      <c r="G61" s="30"/>
      <c r="H61" s="30"/>
      <c r="I61" s="30"/>
      <c r="J61" s="8"/>
      <c r="K61" s="8"/>
      <c r="L61" s="8"/>
      <c r="M61" s="8"/>
      <c r="N61" s="8"/>
    </row>
    <row r="62" ht="14.25" customHeight="1">
      <c r="A62" s="267" t="s">
        <v>449</v>
      </c>
      <c r="B62" s="267">
        <f>'CONSIGNAÇÕES FOLHA 1'!F118</f>
        <v>0</v>
      </c>
      <c r="C62" s="527">
        <v>44.68</v>
      </c>
      <c r="D62" s="538">
        <f t="shared" si="3"/>
        <v>-44.68</v>
      </c>
      <c r="E62" s="267"/>
      <c r="F62" s="30"/>
      <c r="G62" s="30"/>
      <c r="H62" s="30"/>
      <c r="I62" s="30"/>
      <c r="J62" s="8"/>
      <c r="K62" s="8"/>
      <c r="L62" s="8"/>
      <c r="M62" s="8"/>
      <c r="N62" s="8"/>
    </row>
    <row r="63" ht="14.25" customHeight="1">
      <c r="A63" s="267" t="s">
        <v>216</v>
      </c>
      <c r="B63" s="267">
        <f>'CONSIGNAÇÕES FOLHA 1'!F116</f>
        <v>0</v>
      </c>
      <c r="C63" s="527">
        <v>0.22</v>
      </c>
      <c r="D63" s="538">
        <f t="shared" si="3"/>
        <v>-0.22</v>
      </c>
      <c r="E63" s="267"/>
      <c r="F63" s="30"/>
      <c r="G63" s="30"/>
      <c r="H63" s="30"/>
      <c r="I63" s="30"/>
      <c r="J63" s="8"/>
      <c r="K63" s="8"/>
      <c r="L63" s="8"/>
      <c r="M63" s="8"/>
      <c r="N63" s="8"/>
    </row>
    <row r="64" ht="14.25" customHeight="1">
      <c r="A64" s="267" t="s">
        <v>293</v>
      </c>
      <c r="B64" s="267">
        <f>'CONSIGNAÇÕES FOLHA 1'!F121</f>
        <v>0</v>
      </c>
      <c r="C64" s="527">
        <v>43.35</v>
      </c>
      <c r="D64" s="538">
        <f t="shared" si="3"/>
        <v>-43.35</v>
      </c>
      <c r="E64" s="267"/>
      <c r="F64" s="30"/>
      <c r="G64" s="30"/>
      <c r="H64" s="30"/>
      <c r="I64" s="30"/>
      <c r="J64" s="8"/>
      <c r="K64" s="8"/>
      <c r="L64" s="8"/>
      <c r="M64" s="8"/>
      <c r="N64" s="8"/>
    </row>
    <row r="65" ht="14.25" customHeight="1">
      <c r="A65" s="267" t="s">
        <v>521</v>
      </c>
      <c r="B65" s="267">
        <f>'CONSIGNAÇÕES FOLHA 1'!F117</f>
        <v>0</v>
      </c>
      <c r="C65" s="527">
        <v>0.2</v>
      </c>
      <c r="D65" s="538">
        <f t="shared" si="3"/>
        <v>-0.2</v>
      </c>
      <c r="E65" s="267"/>
      <c r="F65" s="30"/>
      <c r="G65" s="30"/>
      <c r="H65" s="30"/>
      <c r="I65" s="30"/>
      <c r="J65" s="8"/>
      <c r="K65" s="8"/>
      <c r="L65" s="8"/>
      <c r="M65" s="8"/>
      <c r="N65" s="8"/>
    </row>
    <row r="66" ht="14.25" customHeight="1">
      <c r="A66" s="267" t="s">
        <v>551</v>
      </c>
      <c r="B66" s="267">
        <f>'CONSIGNAÇÕES FOLHA 1'!F124</f>
        <v>0</v>
      </c>
      <c r="C66" s="527">
        <v>48.03</v>
      </c>
      <c r="D66" s="538">
        <f t="shared" si="3"/>
        <v>-48.03</v>
      </c>
      <c r="E66" s="267"/>
      <c r="F66" s="30"/>
      <c r="G66" s="30"/>
      <c r="H66" s="30"/>
      <c r="I66" s="30"/>
      <c r="J66" s="8"/>
      <c r="K66" s="8"/>
      <c r="L66" s="8"/>
      <c r="M66" s="8"/>
      <c r="N66" s="8"/>
    </row>
    <row r="67" ht="14.25" customHeight="1">
      <c r="A67" s="267" t="s">
        <v>552</v>
      </c>
      <c r="B67" s="527">
        <v>618.35</v>
      </c>
      <c r="C67" s="304">
        <v>9.27</v>
      </c>
      <c r="D67" s="538">
        <f t="shared" si="3"/>
        <v>609.08</v>
      </c>
      <c r="E67" s="267"/>
      <c r="F67" s="30"/>
      <c r="G67" s="30"/>
      <c r="H67" s="30"/>
      <c r="I67" s="30"/>
      <c r="J67" s="8"/>
      <c r="K67" s="8"/>
      <c r="L67" s="8"/>
      <c r="M67" s="8"/>
      <c r="N67" s="8"/>
    </row>
    <row r="68" ht="14.25" customHeight="1">
      <c r="A68" s="30"/>
      <c r="B68" s="30"/>
      <c r="C68" s="30">
        <f>SUM(C60:C67)</f>
        <v>148.26</v>
      </c>
      <c r="D68" s="30"/>
      <c r="E68" s="30"/>
      <c r="F68" s="30"/>
      <c r="G68" s="30"/>
      <c r="H68" s="30"/>
      <c r="I68" s="30"/>
      <c r="J68" s="8"/>
      <c r="K68" s="8"/>
      <c r="L68" s="8"/>
      <c r="M68" s="8"/>
      <c r="N68" s="8"/>
    </row>
    <row r="69" ht="14.25" customHeight="1">
      <c r="A69" s="30"/>
      <c r="B69" s="30"/>
      <c r="C69" s="30"/>
      <c r="D69" s="30"/>
      <c r="E69" s="30"/>
      <c r="F69" s="30"/>
      <c r="G69" s="30"/>
      <c r="H69" s="30"/>
      <c r="I69" s="30"/>
      <c r="J69" s="8"/>
      <c r="K69" s="8"/>
      <c r="L69" s="8"/>
      <c r="M69" s="8"/>
      <c r="N69" s="8"/>
    </row>
    <row r="70" ht="14.25" customHeight="1">
      <c r="A70" s="30"/>
      <c r="B70" s="30"/>
      <c r="C70" s="30"/>
      <c r="D70" s="30"/>
      <c r="E70" s="30"/>
      <c r="F70" s="30"/>
      <c r="G70" s="30"/>
      <c r="H70" s="30"/>
      <c r="I70" s="30"/>
      <c r="J70" s="8"/>
      <c r="K70" s="8"/>
      <c r="L70" s="8"/>
      <c r="M70" s="8"/>
      <c r="N70" s="8"/>
    </row>
    <row r="71" ht="14.25" customHeight="1">
      <c r="A71" s="30"/>
      <c r="B71" s="30"/>
      <c r="C71" s="30"/>
      <c r="D71" s="30"/>
      <c r="E71" s="30"/>
      <c r="F71" s="30"/>
      <c r="G71" s="30"/>
      <c r="H71" s="30"/>
      <c r="I71" s="30"/>
      <c r="J71" s="8"/>
      <c r="K71" s="8"/>
      <c r="L71" s="8"/>
      <c r="M71" s="8"/>
      <c r="N71" s="8"/>
    </row>
    <row r="72" ht="14.25" customHeight="1">
      <c r="A72" s="30"/>
      <c r="B72" s="30"/>
      <c r="C72" s="30"/>
      <c r="D72" s="30"/>
      <c r="E72" s="30"/>
      <c r="F72" s="30"/>
      <c r="G72" s="30"/>
      <c r="H72" s="30"/>
      <c r="I72" s="30"/>
      <c r="J72" s="8"/>
      <c r="K72" s="8"/>
      <c r="L72" s="8"/>
      <c r="M72" s="8"/>
      <c r="N72" s="8"/>
    </row>
    <row r="73" ht="14.25" customHeight="1">
      <c r="A73" s="30"/>
      <c r="B73" s="30"/>
      <c r="C73" s="30"/>
      <c r="D73" s="30"/>
      <c r="E73" s="30"/>
      <c r="F73" s="30"/>
      <c r="G73" s="30"/>
      <c r="H73" s="30"/>
      <c r="I73" s="30"/>
      <c r="J73" s="8"/>
      <c r="K73" s="8"/>
      <c r="L73" s="8"/>
      <c r="M73" s="8"/>
      <c r="N73" s="8"/>
    </row>
    <row r="74" ht="14.25" customHeight="1">
      <c r="A74" s="30"/>
      <c r="B74" s="30"/>
      <c r="C74" s="30"/>
      <c r="D74" s="30"/>
      <c r="E74" s="30"/>
      <c r="F74" s="30"/>
      <c r="G74" s="30"/>
      <c r="H74" s="30"/>
      <c r="I74" s="30"/>
      <c r="J74" s="8"/>
      <c r="K74" s="8"/>
      <c r="L74" s="8"/>
      <c r="M74" s="8"/>
      <c r="N74" s="8"/>
    </row>
    <row r="75" ht="14.25" customHeight="1">
      <c r="A75" s="30"/>
      <c r="B75" s="30"/>
      <c r="C75" s="30"/>
      <c r="D75" s="30"/>
      <c r="E75" s="30"/>
      <c r="F75" s="30"/>
      <c r="G75" s="30"/>
      <c r="H75" s="30"/>
      <c r="I75" s="30"/>
      <c r="J75" s="8"/>
      <c r="K75" s="8"/>
      <c r="L75" s="8"/>
      <c r="M75" s="8"/>
      <c r="N75" s="8"/>
    </row>
    <row r="76" ht="14.25" customHeight="1">
      <c r="A76" s="30"/>
      <c r="B76" s="30"/>
      <c r="C76" s="30"/>
      <c r="D76" s="30"/>
      <c r="E76" s="30"/>
      <c r="F76" s="30"/>
      <c r="G76" s="30"/>
      <c r="H76" s="30"/>
      <c r="I76" s="30"/>
      <c r="J76" s="8"/>
      <c r="K76" s="8"/>
      <c r="L76" s="8"/>
      <c r="M76" s="8"/>
      <c r="N76" s="8"/>
    </row>
    <row r="77" ht="14.25" customHeight="1">
      <c r="A77" s="30"/>
      <c r="B77" s="30"/>
      <c r="C77" s="30"/>
      <c r="D77" s="30"/>
      <c r="E77" s="30"/>
      <c r="F77" s="30"/>
      <c r="G77" s="30"/>
      <c r="H77" s="30"/>
      <c r="I77" s="30"/>
      <c r="J77" s="8"/>
      <c r="K77" s="8"/>
      <c r="L77" s="8"/>
      <c r="M77" s="8"/>
      <c r="N77" s="8"/>
    </row>
    <row r="78" ht="14.25" customHeight="1">
      <c r="A78" s="30"/>
      <c r="B78" s="30"/>
      <c r="C78" s="30"/>
      <c r="D78" s="30"/>
      <c r="E78" s="30"/>
      <c r="F78" s="30"/>
      <c r="G78" s="30"/>
      <c r="H78" s="30"/>
      <c r="I78" s="30"/>
      <c r="J78" s="8"/>
      <c r="K78" s="8"/>
      <c r="L78" s="8"/>
      <c r="M78" s="8"/>
      <c r="N78" s="8"/>
    </row>
    <row r="79" ht="14.25" customHeight="1">
      <c r="A79" s="30"/>
      <c r="B79" s="30"/>
      <c r="C79" s="30"/>
      <c r="D79" s="30"/>
      <c r="E79" s="30"/>
      <c r="F79" s="30"/>
      <c r="G79" s="30"/>
      <c r="H79" s="30"/>
      <c r="I79" s="30"/>
      <c r="J79" s="8"/>
      <c r="K79" s="8"/>
      <c r="L79" s="8"/>
      <c r="M79" s="8"/>
      <c r="N79" s="8"/>
    </row>
    <row r="80" ht="14.25" customHeight="1">
      <c r="A80" s="30"/>
      <c r="B80" s="30"/>
      <c r="C80" s="30"/>
      <c r="D80" s="30"/>
      <c r="E80" s="30"/>
      <c r="F80" s="30"/>
      <c r="G80" s="30"/>
      <c r="H80" s="30"/>
      <c r="I80" s="30"/>
      <c r="J80" s="8"/>
      <c r="K80" s="8"/>
      <c r="L80" s="8"/>
      <c r="M80" s="8"/>
      <c r="N80" s="8"/>
    </row>
    <row r="81" ht="14.25" customHeight="1">
      <c r="A81" s="30"/>
      <c r="B81" s="30"/>
      <c r="C81" s="30"/>
      <c r="D81" s="30"/>
      <c r="E81" s="30"/>
      <c r="F81" s="30"/>
      <c r="G81" s="30"/>
      <c r="H81" s="30"/>
      <c r="I81" s="30"/>
      <c r="J81" s="8"/>
      <c r="K81" s="8"/>
      <c r="L81" s="8"/>
      <c r="M81" s="8"/>
      <c r="N81" s="8"/>
    </row>
    <row r="82" ht="14.25" customHeight="1">
      <c r="A82" s="30"/>
      <c r="B82" s="30"/>
      <c r="C82" s="30"/>
      <c r="D82" s="30"/>
      <c r="E82" s="30"/>
      <c r="F82" s="30"/>
      <c r="G82" s="30"/>
      <c r="H82" s="30"/>
      <c r="I82" s="30"/>
      <c r="J82" s="8"/>
      <c r="K82" s="8"/>
      <c r="L82" s="8"/>
      <c r="M82" s="8"/>
      <c r="N82" s="8"/>
    </row>
    <row r="83" ht="14.25" customHeight="1">
      <c r="A83" s="30"/>
      <c r="B83" s="30"/>
      <c r="C83" s="30"/>
      <c r="D83" s="30"/>
      <c r="E83" s="30"/>
      <c r="F83" s="30"/>
      <c r="G83" s="30"/>
      <c r="H83" s="30"/>
      <c r="I83" s="30"/>
      <c r="J83" s="8"/>
      <c r="K83" s="8"/>
      <c r="L83" s="8"/>
      <c r="M83" s="8"/>
      <c r="N83" s="8"/>
    </row>
    <row r="84" ht="14.25" customHeight="1">
      <c r="A84" s="30"/>
      <c r="B84" s="30"/>
      <c r="C84" s="30"/>
      <c r="D84" s="30"/>
      <c r="E84" s="30"/>
      <c r="F84" s="30"/>
      <c r="G84" s="30"/>
      <c r="H84" s="30"/>
      <c r="I84" s="30"/>
      <c r="J84" s="8"/>
      <c r="K84" s="8"/>
      <c r="L84" s="8"/>
      <c r="M84" s="8"/>
      <c r="N84" s="8"/>
    </row>
    <row r="85" ht="14.25" customHeight="1">
      <c r="A85" s="30"/>
      <c r="B85" s="30"/>
      <c r="C85" s="30"/>
      <c r="D85" s="30"/>
      <c r="E85" s="30"/>
      <c r="F85" s="30"/>
      <c r="G85" s="30"/>
      <c r="H85" s="30"/>
      <c r="I85" s="30"/>
      <c r="J85" s="8"/>
      <c r="K85" s="8"/>
      <c r="L85" s="8"/>
      <c r="M85" s="8"/>
      <c r="N85" s="8"/>
    </row>
    <row r="86" ht="14.25" customHeight="1">
      <c r="A86" s="30"/>
      <c r="B86" s="30"/>
      <c r="C86" s="30"/>
      <c r="D86" s="30"/>
      <c r="E86" s="30"/>
      <c r="F86" s="30"/>
      <c r="G86" s="30"/>
      <c r="H86" s="30"/>
      <c r="I86" s="30"/>
      <c r="J86" s="8"/>
      <c r="K86" s="8"/>
      <c r="L86" s="8"/>
      <c r="M86" s="8"/>
      <c r="N86" s="8"/>
    </row>
    <row r="87" ht="14.25" customHeight="1">
      <c r="A87" s="30"/>
      <c r="B87" s="30"/>
      <c r="C87" s="30"/>
      <c r="D87" s="30"/>
      <c r="E87" s="30"/>
      <c r="F87" s="30"/>
      <c r="G87" s="30"/>
      <c r="H87" s="30"/>
      <c r="I87" s="30"/>
      <c r="J87" s="8"/>
      <c r="K87" s="8"/>
      <c r="L87" s="8"/>
      <c r="M87" s="8"/>
      <c r="N87" s="8"/>
    </row>
    <row r="88" ht="14.25" customHeight="1">
      <c r="A88" s="30"/>
      <c r="B88" s="30"/>
      <c r="C88" s="30"/>
      <c r="D88" s="30"/>
      <c r="E88" s="30"/>
      <c r="F88" s="30"/>
      <c r="G88" s="30"/>
      <c r="H88" s="30"/>
      <c r="I88" s="30"/>
      <c r="J88" s="8"/>
      <c r="K88" s="8"/>
      <c r="L88" s="8"/>
      <c r="M88" s="8"/>
      <c r="N88" s="8"/>
    </row>
    <row r="89" ht="14.25" customHeight="1">
      <c r="A89" s="30"/>
      <c r="B89" s="30"/>
      <c r="C89" s="30"/>
      <c r="D89" s="30"/>
      <c r="E89" s="30"/>
      <c r="F89" s="30"/>
      <c r="G89" s="30"/>
      <c r="H89" s="30"/>
      <c r="I89" s="30"/>
      <c r="J89" s="8"/>
      <c r="K89" s="8"/>
      <c r="L89" s="8"/>
      <c r="M89" s="8"/>
      <c r="N89" s="8"/>
    </row>
    <row r="90" ht="14.25" customHeight="1">
      <c r="A90" s="30"/>
      <c r="B90" s="30"/>
      <c r="C90" s="30"/>
      <c r="D90" s="30"/>
      <c r="E90" s="30"/>
      <c r="F90" s="30"/>
      <c r="G90" s="30"/>
      <c r="H90" s="30"/>
      <c r="I90" s="30"/>
      <c r="J90" s="8"/>
      <c r="K90" s="8"/>
      <c r="L90" s="8"/>
      <c r="M90" s="8"/>
      <c r="N90" s="8"/>
    </row>
    <row r="91" ht="14.25" customHeight="1">
      <c r="A91" s="30"/>
      <c r="B91" s="30"/>
      <c r="C91" s="30"/>
      <c r="D91" s="30"/>
      <c r="E91" s="30"/>
      <c r="F91" s="30"/>
      <c r="G91" s="30"/>
      <c r="H91" s="30"/>
      <c r="I91" s="30"/>
      <c r="J91" s="8"/>
      <c r="K91" s="8"/>
      <c r="L91" s="8"/>
      <c r="M91" s="8"/>
      <c r="N91" s="8"/>
    </row>
    <row r="92" ht="14.25" customHeight="1">
      <c r="A92" s="30"/>
      <c r="B92" s="30"/>
      <c r="C92" s="30"/>
      <c r="D92" s="30"/>
      <c r="E92" s="30"/>
      <c r="F92" s="30"/>
      <c r="G92" s="30"/>
      <c r="H92" s="30"/>
      <c r="I92" s="30"/>
      <c r="J92" s="8"/>
      <c r="K92" s="8"/>
      <c r="L92" s="8"/>
      <c r="M92" s="8"/>
      <c r="N92" s="8"/>
    </row>
    <row r="93" ht="14.25" customHeight="1">
      <c r="A93" s="30"/>
      <c r="B93" s="30"/>
      <c r="C93" s="30"/>
      <c r="D93" s="30"/>
      <c r="E93" s="30"/>
      <c r="F93" s="30"/>
      <c r="G93" s="30"/>
      <c r="H93" s="30"/>
      <c r="I93" s="30"/>
      <c r="J93" s="8"/>
      <c r="K93" s="8"/>
      <c r="L93" s="8"/>
      <c r="M93" s="8"/>
      <c r="N93" s="8"/>
    </row>
    <row r="94" ht="14.25" customHeight="1">
      <c r="A94" s="30"/>
      <c r="B94" s="30"/>
      <c r="C94" s="30"/>
      <c r="D94" s="30"/>
      <c r="E94" s="30"/>
      <c r="F94" s="30"/>
      <c r="G94" s="30"/>
      <c r="H94" s="30"/>
      <c r="I94" s="30"/>
      <c r="J94" s="8"/>
      <c r="K94" s="8"/>
      <c r="L94" s="8"/>
      <c r="M94" s="8"/>
      <c r="N94" s="8"/>
    </row>
    <row r="95" ht="14.25" customHeight="1">
      <c r="A95" s="30"/>
      <c r="B95" s="30"/>
      <c r="C95" s="30"/>
      <c r="D95" s="30"/>
      <c r="E95" s="30"/>
      <c r="F95" s="30"/>
      <c r="G95" s="30"/>
      <c r="H95" s="30"/>
      <c r="I95" s="30"/>
      <c r="J95" s="8"/>
      <c r="K95" s="8"/>
      <c r="L95" s="8"/>
      <c r="M95" s="8"/>
      <c r="N95" s="8"/>
    </row>
    <row r="96" ht="14.25" customHeight="1">
      <c r="A96" s="30"/>
      <c r="B96" s="30"/>
      <c r="C96" s="30"/>
      <c r="D96" s="30"/>
      <c r="E96" s="30"/>
      <c r="F96" s="30"/>
      <c r="G96" s="30"/>
      <c r="H96" s="30"/>
      <c r="I96" s="30"/>
      <c r="J96" s="8"/>
      <c r="K96" s="8"/>
      <c r="L96" s="8"/>
      <c r="M96" s="8"/>
      <c r="N96" s="8"/>
    </row>
    <row r="97" ht="14.25" customHeight="1">
      <c r="A97" s="30"/>
      <c r="B97" s="30"/>
      <c r="C97" s="30"/>
      <c r="D97" s="30"/>
      <c r="E97" s="30"/>
      <c r="F97" s="30"/>
      <c r="G97" s="30"/>
      <c r="H97" s="30"/>
      <c r="I97" s="30"/>
      <c r="J97" s="8"/>
      <c r="K97" s="8"/>
      <c r="L97" s="8"/>
      <c r="M97" s="8"/>
      <c r="N97" s="8"/>
    </row>
    <row r="98" ht="14.25" customHeight="1">
      <c r="A98" s="30"/>
      <c r="B98" s="30"/>
      <c r="C98" s="30"/>
      <c r="D98" s="30"/>
      <c r="E98" s="30"/>
      <c r="F98" s="30"/>
      <c r="G98" s="30"/>
      <c r="H98" s="30"/>
      <c r="I98" s="30"/>
      <c r="J98" s="8"/>
      <c r="K98" s="8"/>
      <c r="L98" s="8"/>
      <c r="M98" s="8"/>
      <c r="N98" s="8"/>
    </row>
    <row r="99" ht="14.25" customHeight="1">
      <c r="A99" s="30"/>
      <c r="B99" s="30"/>
      <c r="C99" s="30"/>
      <c r="D99" s="30"/>
      <c r="E99" s="30"/>
      <c r="F99" s="30"/>
      <c r="G99" s="30"/>
      <c r="H99" s="30"/>
      <c r="I99" s="30"/>
      <c r="J99" s="8"/>
      <c r="K99" s="8"/>
      <c r="L99" s="8"/>
      <c r="M99" s="8"/>
      <c r="N99" s="8"/>
    </row>
    <row r="100" ht="14.2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8"/>
      <c r="K100" s="8"/>
      <c r="L100" s="8"/>
      <c r="M100" s="8"/>
      <c r="N100" s="8"/>
    </row>
    <row r="101" ht="14.2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8"/>
      <c r="K101" s="8"/>
      <c r="L101" s="8"/>
      <c r="M101" s="8"/>
      <c r="N101" s="8"/>
    </row>
    <row r="102" ht="14.2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8"/>
      <c r="K102" s="8"/>
      <c r="L102" s="8"/>
      <c r="M102" s="8"/>
      <c r="N102" s="8"/>
    </row>
    <row r="103" ht="14.2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8"/>
      <c r="K103" s="8"/>
      <c r="L103" s="8"/>
      <c r="M103" s="8"/>
      <c r="N103" s="8"/>
    </row>
    <row r="104" ht="14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ht="14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ht="14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ht="14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ht="14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ht="14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ht="14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ht="14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ht="14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ht="14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ht="14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ht="14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ht="14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ht="14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ht="14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ht="14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ht="14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ht="14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ht="14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ht="14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ht="14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ht="14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ht="14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ht="14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ht="14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ht="14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ht="14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ht="14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ht="14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ht="14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ht="14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ht="14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ht="14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ht="14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ht="14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ht="14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ht="14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ht="14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ht="14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ht="14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ht="14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 ht="14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ht="14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ht="14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ht="14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ht="14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ht="14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ht="14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ht="14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ht="14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ht="14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ht="14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ht="14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</row>
    <row r="159" ht="14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ht="14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</row>
    <row r="161" ht="14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ht="14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ht="14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ht="14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ht="14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ht="14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ht="14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 ht="14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ht="14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ht="14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ht="14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 ht="14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 ht="14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ht="14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ht="14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ht="14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ht="14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ht="14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  <row r="181" ht="14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</row>
    <row r="183" ht="14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ht="14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 ht="14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ht="14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ht="14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ht="14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</row>
    <row r="189" ht="14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 ht="14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ht="14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</row>
    <row r="193" ht="14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ht="14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ht="14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ht="14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r="197" ht="14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</row>
    <row r="199" ht="14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ht="14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</row>
    <row r="201" ht="14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ht="14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 ht="14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ht="14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 ht="14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ht="14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</row>
    <row r="207" ht="14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 ht="14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</row>
    <row r="209" ht="14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ht="14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</row>
    <row r="211" ht="14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ht="14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</row>
    <row r="213" ht="14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ht="14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</row>
    <row r="215" ht="14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ht="14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</row>
    <row r="217" ht="14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 ht="14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 ht="14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</row>
    <row r="221" ht="14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</row>
    <row r="222" ht="14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</row>
    <row r="223" ht="14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ht="14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 ht="14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ht="14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</row>
    <row r="227" ht="14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</row>
    <row r="228" ht="14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</row>
    <row r="229" ht="14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ht="14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</row>
    <row r="231" ht="14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ht="14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</row>
    <row r="233" ht="14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</row>
    <row r="234" ht="14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</row>
    <row r="235" ht="14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</row>
    <row r="236" ht="14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</row>
    <row r="237" ht="14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 ht="14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</row>
    <row r="239" ht="14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ht="14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</row>
    <row r="241" ht="14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ht="14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</row>
    <row r="243" ht="14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ht="14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</row>
    <row r="245" ht="14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ht="14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</row>
    <row r="247" ht="14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 ht="14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</row>
    <row r="249" ht="14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</row>
    <row r="250" ht="14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</row>
    <row r="251" ht="14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 ht="14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</row>
    <row r="253" ht="14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 ht="14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</row>
    <row r="255" ht="14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</row>
    <row r="256" ht="14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</row>
    <row r="257" ht="14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ht="14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</row>
    <row r="259" ht="14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ht="14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</row>
    <row r="261" ht="14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 ht="14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</row>
    <row r="263" ht="14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ht="14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</row>
    <row r="265" ht="14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ht="14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</row>
    <row r="267" ht="14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ht="14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</row>
    <row r="269" ht="14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ht="14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</row>
    <row r="271" ht="14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</row>
    <row r="272" ht="14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</row>
    <row r="273" ht="14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</row>
    <row r="274" ht="14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</row>
    <row r="275" ht="14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</row>
    <row r="276" ht="14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</row>
    <row r="277" ht="14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</row>
    <row r="278" ht="14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</row>
    <row r="279" ht="14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</row>
    <row r="280" ht="14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</row>
    <row r="281" ht="14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</row>
    <row r="282" ht="14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</row>
    <row r="283" ht="14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</row>
    <row r="284" ht="14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 ht="14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</row>
    <row r="286" ht="14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</row>
    <row r="287" ht="14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</row>
    <row r="288" ht="14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</row>
    <row r="289" ht="14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</row>
    <row r="290" ht="14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</row>
    <row r="291" ht="14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</row>
    <row r="292" ht="14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</row>
    <row r="293" ht="14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</row>
    <row r="294" ht="14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</row>
    <row r="295" ht="14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</row>
    <row r="296" ht="14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</row>
    <row r="297" ht="14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</row>
    <row r="298" ht="14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</row>
    <row r="299" ht="14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</row>
    <row r="300" ht="14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</row>
    <row r="301" ht="14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</row>
    <row r="302" ht="14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</row>
    <row r="303" ht="14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</row>
    <row r="304" ht="14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</row>
    <row r="305" ht="14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</row>
    <row r="306" ht="14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</row>
    <row r="307" ht="14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</row>
    <row r="308" ht="14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</row>
    <row r="309" ht="14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</row>
    <row r="310" ht="14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</row>
    <row r="311" ht="14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</row>
    <row r="312" ht="14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</row>
    <row r="313" ht="14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</row>
    <row r="314" ht="14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</row>
    <row r="315" ht="14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</row>
    <row r="316" ht="14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</row>
    <row r="317" ht="14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</row>
    <row r="318" ht="14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</row>
    <row r="319" ht="14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</row>
    <row r="320" ht="14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</row>
    <row r="321" ht="14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</row>
    <row r="322" ht="14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</row>
    <row r="323" ht="14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</row>
    <row r="324" ht="14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</row>
    <row r="325" ht="14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</row>
    <row r="326" ht="14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</row>
    <row r="327" ht="14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</row>
    <row r="328" ht="14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</row>
    <row r="329" ht="14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</row>
    <row r="330" ht="14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</row>
    <row r="331" ht="14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</row>
    <row r="332" ht="14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</row>
    <row r="333" ht="14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</row>
    <row r="334" ht="14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</row>
    <row r="335" ht="14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</row>
    <row r="336" ht="14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</row>
    <row r="337" ht="14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</row>
    <row r="338" ht="14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</row>
    <row r="339" ht="14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</row>
    <row r="340" ht="14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</row>
    <row r="341" ht="14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</row>
    <row r="342" ht="14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</row>
    <row r="343" ht="14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</row>
    <row r="344" ht="14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</row>
    <row r="345" ht="14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</row>
    <row r="346" ht="14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</row>
    <row r="347" ht="14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</row>
    <row r="348" ht="14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</row>
    <row r="349" ht="14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</row>
    <row r="350" ht="14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</row>
    <row r="351" ht="14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</row>
    <row r="352" ht="14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</row>
    <row r="353" ht="14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</row>
    <row r="354" ht="14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</row>
    <row r="355" ht="14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</row>
    <row r="356" ht="14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</row>
    <row r="357" ht="14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</row>
    <row r="358" ht="14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</row>
    <row r="359" ht="14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</row>
    <row r="360" ht="14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</row>
    <row r="361" ht="14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</row>
    <row r="362" ht="14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</row>
    <row r="363" ht="14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</row>
    <row r="364" ht="14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</row>
    <row r="365" ht="14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</row>
    <row r="366" ht="14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</row>
    <row r="367" ht="14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</row>
    <row r="368" ht="14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</row>
    <row r="369" ht="14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</row>
    <row r="370" ht="14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</row>
    <row r="371" ht="14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</row>
    <row r="372" ht="14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</row>
    <row r="373" ht="14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</row>
    <row r="374" ht="14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</row>
    <row r="375" ht="14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</row>
    <row r="376" ht="14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</row>
    <row r="377" ht="14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</row>
    <row r="378" ht="14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</row>
    <row r="379" ht="14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 ht="14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ht="14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ht="14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ht="14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ht="14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ht="14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ht="14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ht="14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ht="14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ht="14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ht="14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ht="14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ht="14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ht="14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ht="14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ht="14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ht="14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ht="14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ht="14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ht="14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ht="14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ht="14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ht="14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ht="14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ht="14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ht="14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ht="14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ht="14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ht="14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ht="14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ht="14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ht="14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ht="14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ht="14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ht="14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ht="14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ht="14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ht="14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ht="14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ht="14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ht="14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ht="14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ht="14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ht="14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ht="14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ht="14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ht="14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ht="14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ht="14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ht="14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ht="14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ht="14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ht="14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ht="14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ht="14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ht="14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ht="14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ht="14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ht="14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ht="14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ht="14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ht="14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ht="14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ht="14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ht="14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ht="14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ht="14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ht="14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ht="14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ht="14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ht="14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ht="14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ht="14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ht="14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ht="14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ht="14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ht="14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ht="14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ht="14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ht="14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ht="14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ht="14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ht="14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ht="14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ht="14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ht="14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ht="14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ht="14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ht="14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ht="14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ht="14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ht="14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ht="14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ht="14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ht="14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ht="14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ht="14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ht="14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ht="14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ht="14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ht="14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ht="14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ht="14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ht="14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ht="14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ht="14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ht="14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ht="14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ht="14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ht="14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ht="14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ht="14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ht="14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ht="14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ht="14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ht="14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ht="14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ht="14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ht="14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ht="14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ht="14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ht="14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ht="14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ht="14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ht="14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ht="14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ht="14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ht="14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ht="14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ht="14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ht="14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ht="14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ht="14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ht="14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ht="14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ht="14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ht="14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ht="14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ht="14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ht="14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ht="14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ht="14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ht="14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ht="14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  <row r="524" ht="14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</row>
    <row r="525" ht="14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</row>
    <row r="526" ht="14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</row>
    <row r="527" ht="14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</row>
    <row r="528" ht="14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</row>
    <row r="529" ht="14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</row>
    <row r="530" ht="14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</row>
    <row r="531" ht="14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</row>
    <row r="532" ht="14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</row>
    <row r="533" ht="14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</row>
    <row r="534" ht="14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</row>
    <row r="535" ht="14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</row>
    <row r="536" ht="14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</row>
    <row r="537" ht="14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</row>
    <row r="538" ht="14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</row>
    <row r="539" ht="14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</row>
    <row r="540" ht="14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</row>
    <row r="541" ht="14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</row>
    <row r="542" ht="14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</row>
    <row r="543" ht="14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</row>
    <row r="544" ht="14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</row>
    <row r="545" ht="14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</row>
    <row r="546" ht="14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</row>
    <row r="547" ht="14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</row>
    <row r="548" ht="14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</row>
    <row r="549" ht="14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</row>
    <row r="550" ht="14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</row>
    <row r="551" ht="14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</row>
    <row r="552" ht="14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</row>
    <row r="553" ht="14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</row>
    <row r="554" ht="14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</row>
    <row r="555" ht="14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</row>
    <row r="556" ht="14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</row>
    <row r="557" ht="14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</row>
    <row r="558" ht="14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</row>
    <row r="559" ht="14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</row>
    <row r="560" ht="14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</row>
    <row r="561" ht="14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</row>
    <row r="562" ht="14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</row>
    <row r="563" ht="14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</row>
    <row r="564" ht="14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</row>
    <row r="565" ht="14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</row>
    <row r="566" ht="14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</row>
    <row r="567" ht="14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</row>
    <row r="568" ht="14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</row>
    <row r="569" ht="14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</row>
    <row r="570" ht="14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</row>
    <row r="571" ht="14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</row>
    <row r="572" ht="14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</row>
    <row r="573" ht="14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</row>
    <row r="574" ht="14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</row>
    <row r="575" ht="14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</row>
    <row r="576" ht="14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</row>
    <row r="577" ht="14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</row>
    <row r="578" ht="14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</row>
    <row r="579" ht="14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</row>
    <row r="580" ht="14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</row>
    <row r="581" ht="14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</row>
    <row r="582" ht="14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</row>
    <row r="583" ht="14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</row>
    <row r="584" ht="14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</row>
    <row r="585" ht="14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</row>
    <row r="586" ht="14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</row>
    <row r="587" ht="14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</row>
    <row r="588" ht="14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</row>
    <row r="589" ht="14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</row>
    <row r="590" ht="14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</row>
    <row r="591" ht="14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</row>
    <row r="592" ht="14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</row>
    <row r="593" ht="14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</row>
    <row r="594" ht="14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</row>
    <row r="595" ht="14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</row>
    <row r="596" ht="14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</row>
    <row r="597" ht="14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</row>
    <row r="598" ht="14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</row>
    <row r="599" ht="14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</row>
    <row r="600" ht="14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</row>
    <row r="601" ht="14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</row>
    <row r="602" ht="14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</row>
    <row r="603" ht="14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</row>
    <row r="604" ht="14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</row>
    <row r="605" ht="14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</row>
    <row r="606" ht="14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</row>
    <row r="607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</row>
    <row r="608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</row>
    <row r="609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</row>
    <row r="610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</row>
    <row r="611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</row>
    <row r="612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</row>
    <row r="613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</row>
    <row r="614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</row>
    <row r="615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</row>
    <row r="616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</row>
    <row r="617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</row>
    <row r="618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</row>
    <row r="619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</row>
    <row r="620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</row>
    <row r="621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</row>
    <row r="622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</row>
    <row r="623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</row>
    <row r="624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</row>
    <row r="625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</row>
    <row r="626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</row>
    <row r="627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</row>
    <row r="628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</row>
    <row r="629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</row>
    <row r="630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</row>
    <row r="631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</row>
    <row r="632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</row>
    <row r="633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</row>
    <row r="634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</row>
    <row r="635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</row>
    <row r="636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</row>
    <row r="637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</row>
    <row r="638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</row>
    <row r="639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</row>
    <row r="640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</row>
    <row r="641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</row>
    <row r="642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</row>
    <row r="643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</row>
    <row r="644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</row>
    <row r="645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</row>
    <row r="646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</row>
    <row r="647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</row>
    <row r="648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</row>
    <row r="649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</row>
    <row r="650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</row>
    <row r="651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</row>
    <row r="652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</row>
    <row r="653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</row>
    <row r="654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</row>
    <row r="655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</row>
    <row r="656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</row>
    <row r="657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</row>
    <row r="658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</row>
    <row r="659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</row>
    <row r="660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</row>
    <row r="661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</row>
    <row r="662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</row>
    <row r="663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</row>
    <row r="664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</row>
    <row r="665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</row>
    <row r="666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</row>
    <row r="667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</row>
    <row r="668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</row>
    <row r="669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</row>
    <row r="670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</row>
    <row r="671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</row>
    <row r="672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</row>
    <row r="673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</row>
    <row r="674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</row>
    <row r="675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</row>
    <row r="676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</row>
    <row r="677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</row>
    <row r="678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</row>
    <row r="679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</row>
    <row r="680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</row>
    <row r="681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</row>
    <row r="682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</row>
    <row r="683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</row>
    <row r="684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</row>
    <row r="685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</row>
    <row r="686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</row>
    <row r="687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</row>
    <row r="688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</row>
    <row r="689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</row>
    <row r="690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</row>
    <row r="691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</row>
    <row r="692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</row>
    <row r="693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</row>
    <row r="694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</row>
    <row r="695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</row>
    <row r="696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</row>
    <row r="697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</row>
    <row r="698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</row>
    <row r="699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</row>
    <row r="700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</row>
    <row r="701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</row>
    <row r="702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</row>
    <row r="703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</row>
    <row r="704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</row>
    <row r="705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</row>
    <row r="706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</row>
    <row r="707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</row>
    <row r="708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</row>
    <row r="709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</row>
    <row r="710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</row>
    <row r="711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</row>
    <row r="712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</row>
    <row r="713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</row>
    <row r="714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</row>
    <row r="715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</row>
    <row r="716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</row>
    <row r="717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</row>
    <row r="718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</row>
    <row r="719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</row>
    <row r="720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</row>
    <row r="721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</row>
    <row r="722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</row>
    <row r="723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</row>
    <row r="724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</row>
    <row r="725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</row>
    <row r="726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</row>
    <row r="727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</row>
    <row r="728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</row>
    <row r="729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</row>
    <row r="730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</row>
    <row r="731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</row>
    <row r="732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</row>
    <row r="733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</row>
    <row r="734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</row>
    <row r="735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</row>
    <row r="736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</row>
    <row r="737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</row>
    <row r="738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</row>
    <row r="739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</row>
    <row r="740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</row>
    <row r="741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</row>
    <row r="742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</row>
    <row r="743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</row>
    <row r="744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</row>
    <row r="745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</row>
    <row r="746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</row>
    <row r="747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</row>
    <row r="748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</row>
    <row r="749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</row>
    <row r="750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</row>
    <row r="751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</row>
    <row r="752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</row>
    <row r="753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</row>
    <row r="754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</row>
    <row r="755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</row>
    <row r="756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</row>
    <row r="757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</row>
    <row r="758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</row>
    <row r="759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</row>
    <row r="760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</row>
    <row r="761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</row>
    <row r="762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</row>
    <row r="763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</row>
    <row r="764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</row>
    <row r="765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</row>
    <row r="766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</row>
    <row r="767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</row>
    <row r="768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</row>
    <row r="769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</row>
    <row r="770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</row>
    <row r="771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</row>
    <row r="772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</row>
    <row r="773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</row>
    <row r="774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</row>
    <row r="775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</row>
    <row r="776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</row>
    <row r="777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</row>
    <row r="778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</row>
    <row r="779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</row>
    <row r="780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</row>
    <row r="781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</row>
    <row r="782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</row>
    <row r="783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</row>
    <row r="784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</row>
    <row r="785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</row>
    <row r="786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</row>
    <row r="787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</row>
    <row r="788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</row>
    <row r="789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</row>
    <row r="790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</row>
    <row r="791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</row>
    <row r="792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</row>
    <row r="793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</row>
    <row r="794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</row>
    <row r="795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</row>
    <row r="796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</row>
    <row r="797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</row>
    <row r="798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</row>
    <row r="799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</row>
    <row r="800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</row>
    <row r="801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</row>
    <row r="802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</row>
    <row r="803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</row>
    <row r="804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</row>
    <row r="805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</row>
    <row r="806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</row>
    <row r="807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</row>
    <row r="808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</row>
    <row r="809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</row>
    <row r="810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</row>
    <row r="811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</row>
    <row r="812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</row>
    <row r="813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</row>
    <row r="814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</row>
    <row r="815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</row>
    <row r="816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</row>
    <row r="817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</row>
    <row r="818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</row>
    <row r="819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</row>
    <row r="820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</row>
    <row r="821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</row>
    <row r="822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</row>
    <row r="823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</row>
    <row r="824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</row>
    <row r="825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</row>
    <row r="826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</row>
    <row r="827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</row>
    <row r="828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</row>
    <row r="829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</row>
    <row r="830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</row>
    <row r="831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</row>
    <row r="832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</row>
    <row r="833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</row>
    <row r="834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</row>
    <row r="835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</row>
    <row r="836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</row>
    <row r="837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</row>
    <row r="838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</row>
    <row r="839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</row>
    <row r="840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</row>
    <row r="841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</row>
    <row r="842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</row>
    <row r="843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</row>
    <row r="844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</row>
    <row r="845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</row>
    <row r="846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</row>
    <row r="847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</row>
    <row r="848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</row>
    <row r="849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</row>
    <row r="850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</row>
    <row r="851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</row>
    <row r="852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</row>
    <row r="853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</row>
    <row r="854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</row>
    <row r="855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</row>
    <row r="856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</row>
    <row r="857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</row>
    <row r="858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</row>
    <row r="859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</row>
    <row r="860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</row>
    <row r="861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</row>
    <row r="862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</row>
    <row r="863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</row>
    <row r="864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</row>
    <row r="865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</row>
    <row r="866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</row>
    <row r="867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</row>
    <row r="868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</row>
    <row r="869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</row>
    <row r="870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</row>
    <row r="871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</row>
    <row r="872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</row>
    <row r="873" ht="14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</row>
    <row r="874" ht="14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</row>
    <row r="875" ht="14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</row>
    <row r="876" ht="14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</row>
    <row r="877" ht="14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</row>
    <row r="878" ht="14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</row>
    <row r="879" ht="14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</row>
    <row r="880" ht="14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</row>
    <row r="881" ht="14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</row>
    <row r="882" ht="14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</row>
    <row r="883" ht="14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</row>
    <row r="884" ht="14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</row>
    <row r="885" ht="14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</row>
    <row r="886" ht="14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</row>
    <row r="887" ht="14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</row>
    <row r="888" ht="14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</row>
    <row r="889" ht="14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</row>
    <row r="890" ht="14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</row>
    <row r="891" ht="14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</row>
    <row r="892" ht="14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</row>
    <row r="893" ht="14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</row>
    <row r="894" ht="14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</row>
    <row r="895" ht="14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</row>
    <row r="896" ht="14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</row>
    <row r="897" ht="14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</row>
    <row r="898" ht="14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</row>
    <row r="899" ht="14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</row>
    <row r="900" ht="14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</row>
    <row r="901" ht="14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</row>
    <row r="902" ht="14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</row>
    <row r="903" ht="14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</row>
    <row r="904" ht="14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</row>
    <row r="905" ht="14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</row>
    <row r="906" ht="14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</row>
    <row r="907" ht="14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</row>
    <row r="908" ht="14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</row>
    <row r="909" ht="14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</row>
    <row r="910" ht="14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</row>
    <row r="911" ht="14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</row>
    <row r="912" ht="14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</row>
    <row r="913" ht="14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</row>
    <row r="914" ht="14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</row>
    <row r="915" ht="14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</row>
    <row r="916" ht="14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</row>
    <row r="917" ht="14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</row>
    <row r="918" ht="14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</row>
    <row r="919" ht="14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</row>
    <row r="920" ht="14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</row>
    <row r="921" ht="14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</row>
    <row r="922" ht="14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</row>
    <row r="923" ht="14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</row>
    <row r="924" ht="14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</row>
    <row r="925" ht="14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</row>
    <row r="926" ht="14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</row>
    <row r="927" ht="14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</row>
    <row r="928" ht="14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</row>
    <row r="929" ht="14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</row>
    <row r="930" ht="14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</row>
    <row r="931" ht="14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</row>
    <row r="932" ht="14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</row>
    <row r="933" ht="14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</row>
    <row r="934" ht="14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</row>
    <row r="935" ht="14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</row>
    <row r="936" ht="14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</row>
    <row r="937" ht="14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</row>
    <row r="938" ht="14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</row>
    <row r="939" ht="14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</row>
    <row r="940" ht="14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</row>
    <row r="941" ht="14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</row>
    <row r="942" ht="14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</row>
    <row r="943" ht="14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</row>
    <row r="944" ht="14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</row>
    <row r="945" ht="14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</row>
    <row r="946" ht="14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</row>
    <row r="947" ht="14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</row>
    <row r="948" ht="14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</row>
    <row r="949" ht="14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</row>
    <row r="950" ht="14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</row>
    <row r="951" ht="14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</row>
    <row r="952" ht="14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</row>
    <row r="953" ht="14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</row>
    <row r="954" ht="14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</row>
    <row r="955" ht="14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</row>
    <row r="956" ht="14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</row>
    <row r="957" ht="14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</row>
    <row r="958" ht="14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</row>
    <row r="959" ht="14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</row>
    <row r="960" ht="14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</row>
    <row r="961" ht="14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</row>
    <row r="962" ht="14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</row>
    <row r="963" ht="14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</row>
    <row r="964" ht="14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</row>
    <row r="965" ht="14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</row>
    <row r="966" ht="14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</row>
    <row r="967" ht="14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</row>
    <row r="968" ht="14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</row>
    <row r="969" ht="14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</row>
    <row r="970" ht="14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</row>
    <row r="971" ht="14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</row>
    <row r="972" ht="14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</row>
    <row r="973" ht="14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</row>
    <row r="974" ht="14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</row>
    <row r="975" ht="14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</row>
    <row r="976" ht="14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</row>
    <row r="977" ht="14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</row>
    <row r="978" ht="14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</row>
    <row r="979" ht="14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</row>
    <row r="980" ht="14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</row>
    <row r="981" ht="14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</row>
    <row r="982" ht="14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</row>
    <row r="983" ht="14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</row>
    <row r="984" ht="14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</row>
    <row r="985" ht="14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</row>
    <row r="986" ht="14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</row>
    <row r="987" ht="14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</row>
    <row r="988" ht="14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</row>
    <row r="989" ht="14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</row>
    <row r="990" ht="14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</row>
    <row r="991" ht="14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</row>
    <row r="992" ht="14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</row>
    <row r="993" ht="14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</row>
    <row r="994" ht="14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</row>
    <row r="995" ht="14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</row>
    <row r="996" ht="14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</row>
    <row r="997" ht="14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</row>
    <row r="998" ht="14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</row>
    <row r="999" ht="14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</row>
    <row r="1000" ht="14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</row>
  </sheetData>
  <printOptions/>
  <pageMargins bottom="0.7874015748031497" footer="0.0" header="0.0" left="0.5118110236220472" right="0.5118110236220472" top="0.7874015748031497"/>
  <pageSetup paperSize="9" scale="8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64" t="s">
        <v>553</v>
      </c>
      <c r="B1" s="164" t="s">
        <v>554</v>
      </c>
    </row>
    <row r="2">
      <c r="A2" s="164" t="s">
        <v>31</v>
      </c>
      <c r="B2" s="164" t="s">
        <v>78</v>
      </c>
    </row>
    <row r="3">
      <c r="A3" s="164" t="s">
        <v>39</v>
      </c>
      <c r="B3" s="164" t="s">
        <v>84</v>
      </c>
    </row>
    <row r="4">
      <c r="A4" s="164" t="s">
        <v>47</v>
      </c>
      <c r="B4" s="164" t="s">
        <v>88</v>
      </c>
    </row>
    <row r="5">
      <c r="A5" s="164" t="s">
        <v>51</v>
      </c>
      <c r="B5" s="164" t="s">
        <v>94</v>
      </c>
    </row>
    <row r="6">
      <c r="A6" s="164" t="s">
        <v>59</v>
      </c>
      <c r="B6" s="164" t="s">
        <v>103</v>
      </c>
    </row>
    <row r="7">
      <c r="A7" s="164" t="s">
        <v>74</v>
      </c>
      <c r="B7" s="164" t="s">
        <v>106</v>
      </c>
    </row>
    <row r="8">
      <c r="A8" s="164" t="s">
        <v>82</v>
      </c>
      <c r="B8" s="164" t="s">
        <v>25</v>
      </c>
    </row>
    <row r="9">
      <c r="A9" s="164" t="s">
        <v>89</v>
      </c>
      <c r="B9" s="164" t="s">
        <v>114</v>
      </c>
    </row>
    <row r="10">
      <c r="A10" s="164" t="s">
        <v>119</v>
      </c>
      <c r="B10" s="164" t="s">
        <v>120</v>
      </c>
    </row>
    <row r="11">
      <c r="A11" s="164" t="s">
        <v>129</v>
      </c>
      <c r="B11" s="164" t="s">
        <v>124</v>
      </c>
    </row>
    <row r="12">
      <c r="A12" s="164" t="s">
        <v>137</v>
      </c>
      <c r="B12" s="164" t="s">
        <v>127</v>
      </c>
    </row>
    <row r="13">
      <c r="A13" s="164" t="s">
        <v>148</v>
      </c>
      <c r="B13" s="164" t="s">
        <v>134</v>
      </c>
    </row>
    <row r="14">
      <c r="A14" s="164" t="s">
        <v>155</v>
      </c>
      <c r="B14" s="164" t="s">
        <v>143</v>
      </c>
    </row>
    <row r="15">
      <c r="A15" s="164" t="s">
        <v>164</v>
      </c>
      <c r="B15" s="164" t="s">
        <v>149</v>
      </c>
    </row>
    <row r="16">
      <c r="A16" s="164" t="s">
        <v>167</v>
      </c>
      <c r="B16" s="164" t="s">
        <v>152</v>
      </c>
    </row>
    <row r="17">
      <c r="A17" s="164" t="s">
        <v>171</v>
      </c>
      <c r="B17" s="164" t="s">
        <v>154</v>
      </c>
    </row>
    <row r="18">
      <c r="A18" s="164" t="s">
        <v>233</v>
      </c>
      <c r="B18" s="164" t="s">
        <v>157</v>
      </c>
    </row>
    <row r="19">
      <c r="A19" s="164" t="s">
        <v>254</v>
      </c>
      <c r="B19" s="164" t="s">
        <v>160</v>
      </c>
    </row>
    <row r="20">
      <c r="A20" s="164" t="s">
        <v>259</v>
      </c>
      <c r="B20" s="164" t="s">
        <v>163</v>
      </c>
    </row>
    <row r="21" ht="15.75" customHeight="1">
      <c r="A21" s="164" t="s">
        <v>264</v>
      </c>
      <c r="B21" s="164" t="s">
        <v>166</v>
      </c>
    </row>
    <row r="22" ht="15.75" customHeight="1">
      <c r="A22" s="164" t="s">
        <v>279</v>
      </c>
      <c r="B22" s="164" t="s">
        <v>170</v>
      </c>
    </row>
    <row r="23" ht="15.75" customHeight="1">
      <c r="A23" s="164" t="s">
        <v>286</v>
      </c>
      <c r="B23" s="164" t="s">
        <v>175</v>
      </c>
    </row>
    <row r="24" ht="15.75" customHeight="1">
      <c r="B24" s="164" t="s">
        <v>179</v>
      </c>
    </row>
    <row r="25" ht="15.75" customHeight="1">
      <c r="B25" s="164" t="s">
        <v>180</v>
      </c>
    </row>
    <row r="26" ht="15.75" customHeight="1">
      <c r="B26" s="164" t="s">
        <v>181</v>
      </c>
    </row>
    <row r="27" ht="15.75" customHeight="1">
      <c r="B27" s="164" t="s">
        <v>185</v>
      </c>
    </row>
    <row r="28" ht="15.75" customHeight="1">
      <c r="B28" s="164" t="s">
        <v>187</v>
      </c>
    </row>
    <row r="29" ht="15.75" customHeight="1">
      <c r="B29" s="164" t="s">
        <v>191</v>
      </c>
    </row>
    <row r="30" ht="15.75" customHeight="1">
      <c r="B30" s="164" t="s">
        <v>195</v>
      </c>
    </row>
    <row r="31" ht="15.75" customHeight="1">
      <c r="B31" s="164" t="s">
        <v>198</v>
      </c>
    </row>
    <row r="32" ht="15.75" customHeight="1">
      <c r="B32" s="164" t="s">
        <v>204</v>
      </c>
    </row>
    <row r="33" ht="15.75" customHeight="1">
      <c r="B33" s="164" t="s">
        <v>210</v>
      </c>
    </row>
    <row r="34" ht="15.75" customHeight="1">
      <c r="B34" s="164" t="s">
        <v>216</v>
      </c>
    </row>
    <row r="35" ht="15.75" customHeight="1">
      <c r="B35" s="164" t="s">
        <v>219</v>
      </c>
    </row>
    <row r="36" ht="15.75" customHeight="1">
      <c r="B36" s="164" t="s">
        <v>222</v>
      </c>
    </row>
    <row r="37" ht="15.75" customHeight="1">
      <c r="B37" s="164" t="s">
        <v>230</v>
      </c>
    </row>
    <row r="38" ht="15.75" customHeight="1">
      <c r="B38" s="164" t="s">
        <v>237</v>
      </c>
    </row>
    <row r="39" ht="15.75" customHeight="1">
      <c r="B39" s="164" t="s">
        <v>243</v>
      </c>
    </row>
    <row r="40" ht="15.75" customHeight="1">
      <c r="B40" s="164" t="s">
        <v>246</v>
      </c>
    </row>
    <row r="41" ht="15.75" customHeight="1">
      <c r="B41" s="164" t="s">
        <v>249</v>
      </c>
    </row>
    <row r="42" ht="15.75" customHeight="1">
      <c r="B42" s="164" t="s">
        <v>252</v>
      </c>
    </row>
    <row r="43" ht="15.75" customHeight="1">
      <c r="B43" s="164" t="s">
        <v>258</v>
      </c>
    </row>
    <row r="44" ht="15.75" customHeight="1">
      <c r="B44" s="164" t="s">
        <v>266</v>
      </c>
    </row>
    <row r="45" ht="15.75" customHeight="1">
      <c r="B45" s="164" t="s">
        <v>270</v>
      </c>
    </row>
    <row r="46" ht="15.75" customHeight="1">
      <c r="B46" s="164" t="s">
        <v>274</v>
      </c>
    </row>
    <row r="47" ht="15.75" customHeight="1">
      <c r="B47" s="164" t="s">
        <v>281</v>
      </c>
    </row>
    <row r="48" ht="15.75" customHeight="1">
      <c r="B48" s="164" t="s">
        <v>285</v>
      </c>
    </row>
    <row r="49" ht="15.75" customHeight="1">
      <c r="B49" s="164" t="s">
        <v>290</v>
      </c>
    </row>
    <row r="50" ht="15.75" customHeight="1">
      <c r="B50" s="164" t="s">
        <v>293</v>
      </c>
    </row>
    <row r="51" ht="15.75" customHeight="1">
      <c r="B51" s="164" t="s">
        <v>296</v>
      </c>
    </row>
    <row r="52" ht="15.75" customHeight="1">
      <c r="B52" s="164" t="s">
        <v>299</v>
      </c>
    </row>
    <row r="53" ht="15.75" customHeight="1">
      <c r="B53" s="164" t="s">
        <v>300</v>
      </c>
    </row>
    <row r="54" ht="15.75" customHeight="1">
      <c r="B54" s="164" t="s">
        <v>301</v>
      </c>
    </row>
    <row r="55" ht="15.75" customHeight="1">
      <c r="B55" s="164" t="s">
        <v>304</v>
      </c>
    </row>
    <row r="56" ht="15.75" customHeight="1">
      <c r="B56" s="164" t="s">
        <v>307</v>
      </c>
    </row>
    <row r="57" ht="15.75" customHeight="1">
      <c r="B57" s="164" t="s">
        <v>308</v>
      </c>
    </row>
    <row r="58" ht="15.75" customHeight="1">
      <c r="B58" s="164" t="s">
        <v>309</v>
      </c>
    </row>
    <row r="59" ht="15.75" customHeight="1">
      <c r="B59" s="164" t="s">
        <v>311</v>
      </c>
    </row>
    <row r="60" ht="15.75" customHeight="1">
      <c r="B60" s="164" t="s">
        <v>314</v>
      </c>
    </row>
    <row r="61" ht="15.75" customHeight="1">
      <c r="B61" s="164" t="s">
        <v>319</v>
      </c>
    </row>
    <row r="62" ht="15.75" customHeight="1">
      <c r="B62" s="164" t="s">
        <v>328</v>
      </c>
    </row>
    <row r="63" ht="15.75" customHeight="1">
      <c r="B63" s="164" t="s">
        <v>332</v>
      </c>
    </row>
    <row r="64" ht="15.75" customHeight="1">
      <c r="B64" s="164" t="s">
        <v>337</v>
      </c>
    </row>
    <row r="65" ht="15.75" customHeight="1">
      <c r="B65" s="164" t="s">
        <v>341</v>
      </c>
    </row>
    <row r="66" ht="15.75" customHeight="1">
      <c r="B66" s="164" t="s">
        <v>346</v>
      </c>
    </row>
    <row r="67" ht="15.75" customHeight="1">
      <c r="B67" s="164" t="s">
        <v>352</v>
      </c>
    </row>
    <row r="68" ht="15.75" customHeight="1">
      <c r="B68" s="164" t="s">
        <v>356</v>
      </c>
    </row>
    <row r="69" ht="15.75" customHeight="1">
      <c r="B69" s="164" t="s">
        <v>360</v>
      </c>
    </row>
    <row r="70" ht="15.75" customHeight="1">
      <c r="B70" s="164" t="s">
        <v>364</v>
      </c>
    </row>
    <row r="71" ht="15.75" customHeight="1">
      <c r="B71" s="164" t="s">
        <v>368</v>
      </c>
    </row>
    <row r="72" ht="15.75" customHeight="1">
      <c r="B72" s="164" t="s">
        <v>372</v>
      </c>
    </row>
    <row r="73" ht="15.75" customHeight="1">
      <c r="B73" s="164" t="s">
        <v>376</v>
      </c>
    </row>
    <row r="74" ht="15.75" customHeight="1">
      <c r="B74" s="164" t="s">
        <v>380</v>
      </c>
    </row>
    <row r="75" ht="15.75" customHeight="1">
      <c r="B75" s="164" t="s">
        <v>383</v>
      </c>
    </row>
    <row r="76" ht="15.75" customHeight="1">
      <c r="B76" s="164" t="s">
        <v>387</v>
      </c>
    </row>
    <row r="77" ht="15.75" customHeight="1">
      <c r="B77" s="164" t="s">
        <v>390</v>
      </c>
    </row>
    <row r="78" ht="15.75" customHeight="1">
      <c r="B78" s="164" t="s">
        <v>393</v>
      </c>
    </row>
    <row r="79" ht="15.75" customHeight="1">
      <c r="B79" s="164" t="s">
        <v>394</v>
      </c>
    </row>
    <row r="80" ht="15.75" customHeight="1">
      <c r="B80" s="164" t="s">
        <v>396</v>
      </c>
    </row>
    <row r="81" ht="15.75" customHeight="1">
      <c r="B81" s="164" t="s">
        <v>398</v>
      </c>
    </row>
    <row r="82" ht="15.75" customHeight="1">
      <c r="B82" s="164" t="s">
        <v>400</v>
      </c>
    </row>
    <row r="83" ht="15.75" customHeight="1">
      <c r="B83" s="164" t="s">
        <v>403</v>
      </c>
    </row>
    <row r="84" ht="15.75" customHeight="1">
      <c r="B84" s="164" t="s">
        <v>406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